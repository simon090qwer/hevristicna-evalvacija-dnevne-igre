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simon.slemensek/Desktop/diploma speedrun/Ocenjevanje/analiza/"/>
    </mc:Choice>
  </mc:AlternateContent>
  <xr:revisionPtr revIDLastSave="0" documentId="13_ncr:1_{12FC0E45-7794-994D-BE17-BCB7655C94B1}" xr6:coauthVersionLast="47" xr6:coauthVersionMax="47" xr10:uidLastSave="{00000000-0000-0000-0000-000000000000}"/>
  <bookViews>
    <workbookView xWindow="0" yWindow="660" windowWidth="30240" windowHeight="17180" activeTab="3" xr2:uid="{D10723AC-CBED-704D-B38B-5E75877F4E67}"/>
  </bookViews>
  <sheets>
    <sheet name="Podatki" sheetId="2" r:id="rId1"/>
    <sheet name="Analiza" sheetId="3" r:id="rId2"/>
    <sheet name="Kendall" sheetId="4" r:id="rId3"/>
    <sheet name="Kontrolno vprašanje" sheetId="5" r:id="rId4"/>
    <sheet name="Grafi"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66" i="3" l="1"/>
  <c r="G68" i="3"/>
  <c r="D62" i="3" l="1"/>
  <c r="F62" i="3"/>
  <c r="C64" i="3"/>
  <c r="D64" i="3"/>
  <c r="E64" i="3"/>
  <c r="F64" i="3"/>
  <c r="E65" i="3"/>
  <c r="F65" i="3"/>
  <c r="C66" i="3"/>
  <c r="D66" i="3"/>
  <c r="E66" i="3"/>
  <c r="F66" i="3"/>
  <c r="D67" i="3"/>
  <c r="F67" i="3"/>
  <c r="C68" i="3"/>
  <c r="D68" i="3"/>
  <c r="E68" i="3"/>
  <c r="F68" i="3"/>
  <c r="C69" i="3"/>
  <c r="D60" i="3"/>
  <c r="C4" i="5"/>
  <c r="C5" i="5"/>
  <c r="C6" i="5"/>
  <c r="D7" i="3"/>
  <c r="F7" i="3"/>
  <c r="C9" i="3"/>
  <c r="D9" i="3"/>
  <c r="E9" i="3"/>
  <c r="F9" i="3"/>
  <c r="E10" i="3"/>
  <c r="F10" i="3"/>
  <c r="C11" i="3"/>
  <c r="D11" i="3"/>
  <c r="E11" i="3"/>
  <c r="F11" i="3"/>
  <c r="D12" i="3"/>
  <c r="F12" i="3"/>
  <c r="C13" i="3"/>
  <c r="D13" i="3"/>
  <c r="E13" i="3"/>
  <c r="F13" i="3"/>
  <c r="C14" i="3"/>
  <c r="C20" i="3"/>
  <c r="D20" i="3"/>
  <c r="E20" i="3"/>
  <c r="F20" i="3"/>
  <c r="G20" i="3"/>
  <c r="B19" i="6" s="1"/>
  <c r="C21" i="3"/>
  <c r="D21" i="3"/>
  <c r="D50" i="3" s="1"/>
  <c r="E21" i="3"/>
  <c r="E50" i="3" s="1"/>
  <c r="F21" i="3"/>
  <c r="C22" i="3"/>
  <c r="D22" i="3"/>
  <c r="E22" i="3"/>
  <c r="F22" i="3"/>
  <c r="G22" i="3" s="1"/>
  <c r="B21" i="6" s="1"/>
  <c r="C23" i="3"/>
  <c r="D23" i="3"/>
  <c r="D52" i="3" s="1"/>
  <c r="E23" i="3"/>
  <c r="G23" i="3" s="1"/>
  <c r="B22" i="6" s="1"/>
  <c r="F23" i="3"/>
  <c r="F52" i="3" s="1"/>
  <c r="C24" i="3"/>
  <c r="D24" i="3"/>
  <c r="E24" i="3"/>
  <c r="F24" i="3"/>
  <c r="C25" i="3"/>
  <c r="D25" i="3"/>
  <c r="E25" i="3"/>
  <c r="F25" i="3"/>
  <c r="C26" i="3"/>
  <c r="D26" i="3"/>
  <c r="E26" i="3"/>
  <c r="F26" i="3"/>
  <c r="C27" i="3"/>
  <c r="D27" i="3"/>
  <c r="E27" i="3"/>
  <c r="F27" i="3"/>
  <c r="C28" i="3"/>
  <c r="D28" i="3"/>
  <c r="E28" i="3"/>
  <c r="G28" i="3" s="1"/>
  <c r="B27" i="6" s="1"/>
  <c r="F28" i="3"/>
  <c r="C29" i="3"/>
  <c r="D29" i="3"/>
  <c r="E29" i="3"/>
  <c r="F29" i="3"/>
  <c r="C30" i="3"/>
  <c r="B5" i="6" s="1"/>
  <c r="D30" i="3"/>
  <c r="B6" i="6" s="1"/>
  <c r="E30" i="3"/>
  <c r="B7" i="6" s="1"/>
  <c r="F30" i="3"/>
  <c r="B8" i="6" s="1"/>
  <c r="F50" i="3"/>
  <c r="C52" i="3"/>
  <c r="C54" i="3"/>
  <c r="F55" i="3"/>
  <c r="L4" i="2"/>
  <c r="C60" i="3" s="1"/>
  <c r="M4" i="2"/>
  <c r="N18" i="2" s="1"/>
  <c r="L5" i="2"/>
  <c r="M5" i="2"/>
  <c r="L6" i="2"/>
  <c r="M6" i="2"/>
  <c r="L7" i="2"/>
  <c r="M7" i="2"/>
  <c r="L8" i="2"/>
  <c r="M8" i="2"/>
  <c r="L9" i="2"/>
  <c r="M9" i="2"/>
  <c r="L10" i="2"/>
  <c r="M10" i="2"/>
  <c r="L11" i="2"/>
  <c r="G64" i="3" s="1"/>
  <c r="M11" i="2"/>
  <c r="L12" i="2"/>
  <c r="M12" i="2"/>
  <c r="L13" i="2"/>
  <c r="M13" i="2"/>
  <c r="L14" i="2"/>
  <c r="M14" i="2"/>
  <c r="L15" i="2"/>
  <c r="M15" i="2"/>
  <c r="L16" i="2"/>
  <c r="G62" i="3" s="1"/>
  <c r="M16" i="2"/>
  <c r="L17" i="2"/>
  <c r="M17" i="2"/>
  <c r="L18" i="2"/>
  <c r="M18" i="2"/>
  <c r="L19" i="2"/>
  <c r="M19" i="2"/>
  <c r="L20" i="2"/>
  <c r="M20" i="2"/>
  <c r="P20" i="2" s="1"/>
  <c r="L21" i="2"/>
  <c r="M21" i="2"/>
  <c r="L22" i="2"/>
  <c r="M22" i="2"/>
  <c r="L23" i="2"/>
  <c r="M23" i="2"/>
  <c r="L24" i="2"/>
  <c r="M24" i="2"/>
  <c r="L25" i="2"/>
  <c r="D61" i="3" s="1"/>
  <c r="M25" i="2"/>
  <c r="L26" i="2"/>
  <c r="D65" i="3" s="1"/>
  <c r="M26" i="2"/>
  <c r="L27" i="2"/>
  <c r="M27" i="2"/>
  <c r="L28" i="2"/>
  <c r="D8" i="3" s="1"/>
  <c r="D53" i="3" s="1"/>
  <c r="M28" i="2"/>
  <c r="N28" i="2" s="1"/>
  <c r="L29" i="2"/>
  <c r="M29" i="2"/>
  <c r="P28" i="2" s="1"/>
  <c r="L30" i="2"/>
  <c r="D5" i="3" s="1"/>
  <c r="M30" i="2"/>
  <c r="N30" i="2" s="1"/>
  <c r="L31" i="2"/>
  <c r="E61" i="3" s="1"/>
  <c r="M31" i="2"/>
  <c r="L32" i="2"/>
  <c r="E63" i="3" s="1"/>
  <c r="M32" i="2"/>
  <c r="N60" i="2" s="1"/>
  <c r="L33" i="2"/>
  <c r="M33" i="2"/>
  <c r="L34" i="2"/>
  <c r="M34" i="2"/>
  <c r="L35" i="2"/>
  <c r="M35" i="2"/>
  <c r="L36" i="2"/>
  <c r="E67" i="3" s="1"/>
  <c r="M36" i="2"/>
  <c r="L37" i="2"/>
  <c r="M37" i="2"/>
  <c r="L38" i="2"/>
  <c r="M38" i="2"/>
  <c r="L39" i="2"/>
  <c r="M39" i="2"/>
  <c r="L40" i="2"/>
  <c r="M40" i="2"/>
  <c r="L41" i="2"/>
  <c r="M41" i="2"/>
  <c r="L42" i="2"/>
  <c r="M42" i="2"/>
  <c r="L43" i="2"/>
  <c r="M43" i="2"/>
  <c r="L44" i="2"/>
  <c r="M44" i="2"/>
  <c r="N44" i="2" s="1"/>
  <c r="L45" i="2"/>
  <c r="E14" i="3" s="1"/>
  <c r="M45" i="2"/>
  <c r="L46" i="2"/>
  <c r="M46" i="2"/>
  <c r="L47" i="2"/>
  <c r="E60" i="3" s="1"/>
  <c r="M47" i="2"/>
  <c r="L48" i="2"/>
  <c r="M48" i="2"/>
  <c r="L49" i="2"/>
  <c r="M49" i="2"/>
  <c r="L50" i="2"/>
  <c r="M50" i="2"/>
  <c r="L51" i="2"/>
  <c r="M51" i="2"/>
  <c r="O51" i="2" s="1"/>
  <c r="L52" i="2"/>
  <c r="M52" i="2"/>
  <c r="L53" i="2"/>
  <c r="M53" i="2"/>
  <c r="L54" i="2"/>
  <c r="M54" i="2"/>
  <c r="L55" i="2"/>
  <c r="M55" i="2"/>
  <c r="L56" i="2"/>
  <c r="E62" i="3" s="1"/>
  <c r="M56" i="2"/>
  <c r="L57" i="2"/>
  <c r="M57" i="2"/>
  <c r="L58" i="2"/>
  <c r="M58" i="2"/>
  <c r="N58" i="2" s="1"/>
  <c r="L59" i="2"/>
  <c r="M59" i="2"/>
  <c r="L60" i="2"/>
  <c r="M60" i="2"/>
  <c r="L61" i="2"/>
  <c r="M61" i="2"/>
  <c r="L62" i="2"/>
  <c r="M62" i="2"/>
  <c r="L63" i="2"/>
  <c r="M63" i="2"/>
  <c r="L64" i="2"/>
  <c r="M64" i="2"/>
  <c r="L65" i="2"/>
  <c r="M65" i="2"/>
  <c r="P65" i="2" s="1"/>
  <c r="L66" i="2"/>
  <c r="M66" i="2"/>
  <c r="L67" i="2"/>
  <c r="F63" i="3" s="1"/>
  <c r="M67" i="2"/>
  <c r="L68" i="2"/>
  <c r="F6" i="3" s="1"/>
  <c r="M68" i="2"/>
  <c r="O67" i="2" s="1"/>
  <c r="L69" i="2"/>
  <c r="M69" i="2"/>
  <c r="L70" i="2"/>
  <c r="M70" i="2"/>
  <c r="L71" i="2"/>
  <c r="F60" i="3" s="1"/>
  <c r="M71" i="2"/>
  <c r="L72" i="2"/>
  <c r="M72" i="2"/>
  <c r="P72" i="2" s="1"/>
  <c r="L73" i="2"/>
  <c r="M73" i="2"/>
  <c r="L74" i="2"/>
  <c r="M74" i="2"/>
  <c r="L75" i="2"/>
  <c r="F14" i="3" s="1"/>
  <c r="M75" i="2"/>
  <c r="N74" i="2" l="1"/>
  <c r="O31" i="2"/>
  <c r="P49" i="2"/>
  <c r="C26" i="4"/>
  <c r="N62" i="2"/>
  <c r="O27" i="2"/>
  <c r="C10" i="3"/>
  <c r="G65" i="3"/>
  <c r="C7" i="3"/>
  <c r="C5" i="3"/>
  <c r="C12" i="3"/>
  <c r="G67" i="3"/>
  <c r="G26" i="3"/>
  <c r="B25" i="6" s="1"/>
  <c r="N27" i="2"/>
  <c r="P56" i="2"/>
  <c r="N42" i="2"/>
  <c r="P24" i="2"/>
  <c r="O55" i="2"/>
  <c r="F54" i="3"/>
  <c r="C6" i="3"/>
  <c r="G61" i="3"/>
  <c r="C62" i="3"/>
  <c r="D54" i="3"/>
  <c r="G63" i="3"/>
  <c r="G60" i="3"/>
  <c r="F69" i="3"/>
  <c r="F61" i="3"/>
  <c r="N26" i="2"/>
  <c r="F5" i="3"/>
  <c r="B56" i="4"/>
  <c r="E7" i="3"/>
  <c r="N46" i="2"/>
  <c r="E69" i="3"/>
  <c r="D14" i="3"/>
  <c r="G69" i="3"/>
  <c r="O71" i="2"/>
  <c r="D69" i="3"/>
  <c r="D63" i="3"/>
  <c r="E5" i="3"/>
  <c r="N66" i="2"/>
  <c r="O44" i="2"/>
  <c r="C42" i="4"/>
  <c r="N11" i="2"/>
  <c r="E52" i="3"/>
  <c r="C67" i="3"/>
  <c r="C65" i="3"/>
  <c r="C63" i="3"/>
  <c r="C61" i="3"/>
  <c r="P32" i="2"/>
  <c r="N7" i="2"/>
  <c r="O74" i="2"/>
  <c r="Q74" i="2" s="1"/>
  <c r="P74" i="2"/>
  <c r="N67" i="2"/>
  <c r="N51" i="2"/>
  <c r="N38" i="2"/>
  <c r="O75" i="2"/>
  <c r="P73" i="2"/>
  <c r="N68" i="2"/>
  <c r="P64" i="2"/>
  <c r="O59" i="2"/>
  <c r="P57" i="2"/>
  <c r="N52" i="2"/>
  <c r="N50" i="2"/>
  <c r="P48" i="2"/>
  <c r="O43" i="2"/>
  <c r="P41" i="2"/>
  <c r="P39" i="2"/>
  <c r="P37" i="2"/>
  <c r="P35" i="2"/>
  <c r="P33" i="2"/>
  <c r="P31" i="2"/>
  <c r="P29" i="2"/>
  <c r="P27" i="2"/>
  <c r="P25" i="2"/>
  <c r="P23" i="2"/>
  <c r="P21" i="2"/>
  <c r="O19" i="2"/>
  <c r="N15" i="2"/>
  <c r="O6" i="2"/>
  <c r="P6" i="2"/>
  <c r="O21" i="2"/>
  <c r="O9" i="2"/>
  <c r="O17" i="2"/>
  <c r="O5" i="2"/>
  <c r="O13" i="2"/>
  <c r="N4" i="2"/>
  <c r="P5" i="2"/>
  <c r="N8" i="2"/>
  <c r="P9" i="2"/>
  <c r="N12" i="2"/>
  <c r="P13" i="2"/>
  <c r="P17" i="2"/>
  <c r="N20" i="2"/>
  <c r="O4" i="2"/>
  <c r="O8" i="2"/>
  <c r="O12" i="2"/>
  <c r="O16" i="2"/>
  <c r="O20" i="2"/>
  <c r="O24" i="2"/>
  <c r="C14" i="4"/>
  <c r="G52" i="3"/>
  <c r="G27" i="3"/>
  <c r="B26" i="6" s="1"/>
  <c r="D58" i="4"/>
  <c r="C12" i="4"/>
  <c r="P40" i="2"/>
  <c r="D34" i="3"/>
  <c r="E6" i="3"/>
  <c r="N75" i="2"/>
  <c r="O64" i="2"/>
  <c r="O48" i="2"/>
  <c r="N43" i="2"/>
  <c r="O39" i="2"/>
  <c r="O35" i="2"/>
  <c r="O23" i="2"/>
  <c r="N19" i="2"/>
  <c r="P12" i="2"/>
  <c r="N10" i="2"/>
  <c r="C8" i="3"/>
  <c r="C53" i="3" s="1"/>
  <c r="P69" i="2"/>
  <c r="N64" i="2"/>
  <c r="Q64" i="2" s="1"/>
  <c r="P60" i="2"/>
  <c r="P53" i="2"/>
  <c r="N48" i="2"/>
  <c r="P44" i="2"/>
  <c r="Q44" i="2" s="1"/>
  <c r="N39" i="2"/>
  <c r="N35" i="2"/>
  <c r="Q35" i="2" s="1"/>
  <c r="N31" i="2"/>
  <c r="C34" i="3"/>
  <c r="D6" i="3"/>
  <c r="N23" i="2"/>
  <c r="Q23" i="2" s="1"/>
  <c r="C55" i="3"/>
  <c r="P16" i="2"/>
  <c r="O10" i="2"/>
  <c r="Q10" i="2" s="1"/>
  <c r="P10" i="2"/>
  <c r="P7" i="2"/>
  <c r="G21" i="3"/>
  <c r="B20" i="6" s="1"/>
  <c r="C50" i="3"/>
  <c r="G50" i="3" s="1"/>
  <c r="P71" i="2"/>
  <c r="O66" i="2"/>
  <c r="P66" i="2"/>
  <c r="Q66" i="2" s="1"/>
  <c r="N59" i="2"/>
  <c r="P55" i="2"/>
  <c r="O50" i="2"/>
  <c r="Q50" i="2" s="1"/>
  <c r="P50" i="2"/>
  <c r="N71" i="2"/>
  <c r="Q71" i="2" s="1"/>
  <c r="P67" i="2"/>
  <c r="O62" i="2"/>
  <c r="Q62" i="2" s="1"/>
  <c r="P62" i="2"/>
  <c r="O60" i="2"/>
  <c r="Q60" i="2" s="1"/>
  <c r="N55" i="2"/>
  <c r="Q55" i="2" s="1"/>
  <c r="P51" i="2"/>
  <c r="Q51" i="2" s="1"/>
  <c r="O46" i="2"/>
  <c r="P46" i="2"/>
  <c r="Q46" i="2"/>
  <c r="Q39" i="2"/>
  <c r="B40" i="4"/>
  <c r="Q27" i="2"/>
  <c r="N16" i="2"/>
  <c r="Q16" i="2" s="1"/>
  <c r="N14" i="2"/>
  <c r="O7" i="2"/>
  <c r="Q7" i="2" s="1"/>
  <c r="O11" i="2"/>
  <c r="Q11" i="2" s="1"/>
  <c r="P4" i="2"/>
  <c r="G25" i="3"/>
  <c r="B24" i="6" s="1"/>
  <c r="G24" i="3"/>
  <c r="B23" i="6" s="1"/>
  <c r="P11" i="2"/>
  <c r="O72" i="2"/>
  <c r="P63" i="2"/>
  <c r="O58" i="2"/>
  <c r="P58" i="2"/>
  <c r="P47" i="2"/>
  <c r="O42" i="2"/>
  <c r="P42" i="2"/>
  <c r="Q42" i="2" s="1"/>
  <c r="N36" i="2"/>
  <c r="N22" i="2"/>
  <c r="N70" i="2"/>
  <c r="P61" i="2"/>
  <c r="N56" i="2"/>
  <c r="N54" i="2"/>
  <c r="P52" i="2"/>
  <c r="O47" i="2"/>
  <c r="P45" i="2"/>
  <c r="O38" i="2"/>
  <c r="P38" i="2"/>
  <c r="Q38" i="2"/>
  <c r="O34" i="2"/>
  <c r="P34" i="2"/>
  <c r="O57" i="2"/>
  <c r="O61" i="2"/>
  <c r="O65" i="2"/>
  <c r="O32" i="2"/>
  <c r="O36" i="2"/>
  <c r="O40" i="2"/>
  <c r="O30" i="2"/>
  <c r="Q30" i="2" s="1"/>
  <c r="P30" i="2"/>
  <c r="O26" i="2"/>
  <c r="P26" i="2"/>
  <c r="N29" i="2"/>
  <c r="N25" i="2"/>
  <c r="O29" i="2"/>
  <c r="O25" i="2"/>
  <c r="O28" i="2"/>
  <c r="Q28" i="2" s="1"/>
  <c r="C25" i="4"/>
  <c r="B28" i="4"/>
  <c r="O22" i="2"/>
  <c r="P22" i="2"/>
  <c r="P15" i="2"/>
  <c r="B10" i="4"/>
  <c r="D28" i="4"/>
  <c r="P36" i="2"/>
  <c r="O14" i="2"/>
  <c r="P14" i="2"/>
  <c r="Q14" i="2" s="1"/>
  <c r="F51" i="3"/>
  <c r="O56" i="2"/>
  <c r="N40" i="2"/>
  <c r="N34" i="2"/>
  <c r="Q34" i="2" s="1"/>
  <c r="N32" i="2"/>
  <c r="N24" i="2"/>
  <c r="Q24" i="2" s="1"/>
  <c r="O18" i="2"/>
  <c r="P18" i="2"/>
  <c r="N72" i="2"/>
  <c r="Q72" i="2" s="1"/>
  <c r="P68" i="2"/>
  <c r="C56" i="4"/>
  <c r="B59" i="4"/>
  <c r="Q67" i="2"/>
  <c r="N69" i="2"/>
  <c r="N73" i="2"/>
  <c r="O69" i="2"/>
  <c r="B50" i="4"/>
  <c r="D56" i="4"/>
  <c r="C59" i="4"/>
  <c r="B57" i="4"/>
  <c r="D59" i="4"/>
  <c r="O73" i="2"/>
  <c r="C57" i="4"/>
  <c r="B55" i="4"/>
  <c r="D57" i="4"/>
  <c r="C55" i="4"/>
  <c r="B58" i="4"/>
  <c r="D55" i="4"/>
  <c r="C58" i="4"/>
  <c r="O63" i="2"/>
  <c r="P75" i="2"/>
  <c r="Q75" i="2" s="1"/>
  <c r="O70" i="2"/>
  <c r="Q70" i="2" s="1"/>
  <c r="P70" i="2"/>
  <c r="O68" i="2"/>
  <c r="E34" i="3"/>
  <c r="F8" i="3"/>
  <c r="F53" i="3" s="1"/>
  <c r="N63" i="2"/>
  <c r="Q63" i="2" s="1"/>
  <c r="P59" i="2"/>
  <c r="O54" i="2"/>
  <c r="P54" i="2"/>
  <c r="O52" i="2"/>
  <c r="N47" i="2"/>
  <c r="P43" i="2"/>
  <c r="Q43" i="2" s="1"/>
  <c r="E12" i="3"/>
  <c r="E55" i="3" s="1"/>
  <c r="E8" i="3"/>
  <c r="E53" i="3" s="1"/>
  <c r="D51" i="3"/>
  <c r="D10" i="3"/>
  <c r="D55" i="3" s="1"/>
  <c r="P19" i="2"/>
  <c r="Q19" i="2" s="1"/>
  <c r="O15" i="2"/>
  <c r="P8" i="2"/>
  <c r="N6" i="2"/>
  <c r="Q6" i="2" s="1"/>
  <c r="B34" i="3"/>
  <c r="G30" i="3"/>
  <c r="G29" i="3"/>
  <c r="B28" i="6" s="1"/>
  <c r="E54" i="3"/>
  <c r="G54" i="3" s="1"/>
  <c r="B26" i="4"/>
  <c r="D44" i="4"/>
  <c r="B42" i="4"/>
  <c r="C28" i="4"/>
  <c r="D25" i="4"/>
  <c r="D14" i="4"/>
  <c r="B12" i="4"/>
  <c r="C44" i="4"/>
  <c r="D41" i="4"/>
  <c r="B35" i="4"/>
  <c r="D11" i="4"/>
  <c r="B5" i="4"/>
  <c r="B44" i="4"/>
  <c r="C41" i="4"/>
  <c r="D27" i="4"/>
  <c r="B25" i="4"/>
  <c r="B14" i="4"/>
  <c r="C11" i="4"/>
  <c r="D43" i="4"/>
  <c r="B41" i="4"/>
  <c r="C27" i="4"/>
  <c r="D13" i="4"/>
  <c r="B11" i="4"/>
  <c r="O45" i="2"/>
  <c r="O37" i="2"/>
  <c r="C43" i="4"/>
  <c r="D40" i="4"/>
  <c r="D29" i="4"/>
  <c r="B27" i="4"/>
  <c r="C13" i="4"/>
  <c r="D10" i="4"/>
  <c r="O49" i="2"/>
  <c r="N65" i="2"/>
  <c r="Q65" i="2" s="1"/>
  <c r="N57" i="2"/>
  <c r="Q57" i="2" s="1"/>
  <c r="N49" i="2"/>
  <c r="Q49" i="2" s="1"/>
  <c r="N41" i="2"/>
  <c r="N33" i="2"/>
  <c r="N21" i="2"/>
  <c r="Q21" i="2" s="1"/>
  <c r="N13" i="2"/>
  <c r="Q13" i="2" s="1"/>
  <c r="N5" i="2"/>
  <c r="Q5" i="2" s="1"/>
  <c r="B43" i="4"/>
  <c r="C40" i="4"/>
  <c r="C29" i="4"/>
  <c r="D26" i="4"/>
  <c r="B20" i="4"/>
  <c r="B13" i="4"/>
  <c r="C10" i="4"/>
  <c r="O53" i="2"/>
  <c r="O41" i="2"/>
  <c r="O33" i="2"/>
  <c r="N61" i="2"/>
  <c r="N53" i="2"/>
  <c r="Q53" i="2" s="1"/>
  <c r="N45" i="2"/>
  <c r="Q45" i="2" s="1"/>
  <c r="N37" i="2"/>
  <c r="N17" i="2"/>
  <c r="Q17" i="2" s="1"/>
  <c r="N9" i="2"/>
  <c r="Q9" i="2" s="1"/>
  <c r="Q31" i="2"/>
  <c r="D42" i="4"/>
  <c r="B29" i="4"/>
  <c r="D12" i="4"/>
  <c r="Q15" i="2" l="1"/>
  <c r="Q41" i="2"/>
  <c r="Q58" i="2"/>
  <c r="Q47" i="2"/>
  <c r="Q25" i="2"/>
  <c r="Q61" i="2"/>
  <c r="Q22" i="2"/>
  <c r="Q48" i="2"/>
  <c r="E15" i="3"/>
  <c r="F15" i="3"/>
  <c r="Q54" i="2"/>
  <c r="Q73" i="2"/>
  <c r="Q18" i="2"/>
  <c r="Q26" i="2"/>
  <c r="D15" i="3"/>
  <c r="C45" i="3" s="1"/>
  <c r="C51" i="3"/>
  <c r="Q69" i="2"/>
  <c r="Q59" i="2"/>
  <c r="B14" i="6"/>
  <c r="B21" i="4"/>
  <c r="C67" i="4"/>
  <c r="B60" i="4"/>
  <c r="Q20" i="2"/>
  <c r="B15" i="6"/>
  <c r="Q52" i="2"/>
  <c r="E51" i="3"/>
  <c r="G51" i="3" s="1"/>
  <c r="Q56" i="2"/>
  <c r="Q29" i="2"/>
  <c r="Q12" i="2"/>
  <c r="B67" i="4"/>
  <c r="B6" i="4"/>
  <c r="D67" i="4"/>
  <c r="B36" i="4"/>
  <c r="Q32" i="2"/>
  <c r="B45" i="4"/>
  <c r="Q8" i="2"/>
  <c r="C15" i="3"/>
  <c r="Q37" i="2"/>
  <c r="B30" i="4"/>
  <c r="Q40" i="2"/>
  <c r="Q36" i="2"/>
  <c r="G55" i="3"/>
  <c r="G53" i="3"/>
  <c r="Q68" i="2"/>
  <c r="Q33" i="2"/>
  <c r="B51" i="4"/>
  <c r="E67" i="4"/>
  <c r="B15" i="4"/>
  <c r="Q4" i="2"/>
  <c r="B13" i="6" l="1"/>
  <c r="C38" i="3"/>
  <c r="C46" i="3"/>
  <c r="B52" i="4"/>
  <c r="B61" i="4" s="1"/>
  <c r="E66" i="4" s="1"/>
  <c r="B37" i="4"/>
  <c r="B46" i="4" s="1"/>
  <c r="D66" i="4" s="1"/>
  <c r="B7" i="4"/>
  <c r="B16" i="4" s="1"/>
  <c r="B66" i="4" s="1"/>
  <c r="C44" i="3"/>
  <c r="B12" i="6"/>
  <c r="C37" i="3"/>
  <c r="B22" i="4"/>
  <c r="B31" i="4" s="1"/>
  <c r="C66" i="4" s="1"/>
  <c r="C39" i="3" l="1"/>
  <c r="C41" i="3" s="1"/>
</calcChain>
</file>

<file path=xl/sharedStrings.xml><?xml version="1.0" encoding="utf-8"?>
<sst xmlns="http://schemas.openxmlformats.org/spreadsheetml/2006/main" count="635" uniqueCount="320">
  <si>
    <t>Navigacijski predel</t>
  </si>
  <si>
    <t>V navigacijskem predelu zaslona križanke ni gumba za pomoč ali navodila.</t>
  </si>
  <si>
    <t>Gumba za pomoč ali navodila v navigacijskem predelu ni</t>
  </si>
  <si>
    <t>7</t>
  </si>
  <si>
    <t>Figma Make</t>
  </si>
  <si>
    <t>D</t>
  </si>
  <si>
    <t>Glava zaslona, zgornji desni kot</t>
  </si>
  <si>
    <t>Igri Beseda in Račun imata v zgornjem desnem kotu glave ikono za navodila, na zaslonu križanke te ikone ni.</t>
  </si>
  <si>
    <t>Ikone za navodila v glavi križanke ni</t>
  </si>
  <si>
    <t>Spodnji del zaslona, ni elementa</t>
  </si>
  <si>
    <t>Na zaslonu igre Križanka ni zaslonske tipkovnice.</t>
  </si>
  <si>
    <t>Pri križanki ni zaslonske tipkovnice</t>
  </si>
  <si>
    <t>Igralna plošča križanke, ni elementa</t>
  </si>
  <si>
    <t>Na zaslonu križanke ni gumba, ki bi spremenil smer vpisa besede.</t>
  </si>
  <si>
    <t>Gumba za spremembo smeri vpisa ni</t>
  </si>
  <si>
    <t>Gumb pod križanko</t>
  </si>
  <si>
    <t>Gumb pod križanko je označen Preveri odgovore, ločenega gumba za preverjanje trenutne besede ni.</t>
  </si>
  <si>
    <t>Gumb Preveri odgovore je zapisan v množini</t>
  </si>
  <si>
    <t>Tipkovnica, gumb Vnos</t>
  </si>
  <si>
    <t>V igri Beseda je gumb Vnos oblikovan enako kot črkovne tipke, v igri Račun je poln obarvan gumb z belim besedilom.</t>
  </si>
  <si>
    <t>Gumb Vnos je v igrah oblikovan različno</t>
  </si>
  <si>
    <t>6</t>
  </si>
  <si>
    <t>Sredina zaslona, prikaz poskusov</t>
  </si>
  <si>
    <t>Število poskusov v igri Beseda je na zaslonu 3 zapisano drugače kot na zaslonu 4.</t>
  </si>
  <si>
    <t>Število poskusov se med zaslonoma razlikuje</t>
  </si>
  <si>
    <t>3, 4</t>
  </si>
  <si>
    <t>Okvir z navodili za igro Beseda</t>
  </si>
  <si>
    <t>V okvirju z navodili za igro Beseda je beseda slovenska zapisana z napako.</t>
  </si>
  <si>
    <t>Napaka v zapisu besede slovenska</t>
  </si>
  <si>
    <t>2</t>
  </si>
  <si>
    <t>Kartica Križanka na domači strani</t>
  </si>
  <si>
    <t>V oznaki kategorije nad naslovom kartice je zapisano MINI KŘIŽANKA.</t>
  </si>
  <si>
    <t>Zapis MINI KŘIŽANKA v oznaki kategorije</t>
  </si>
  <si>
    <t>1</t>
  </si>
  <si>
    <t>Glavni meni na vrhu</t>
  </si>
  <si>
    <t>Glavni meni vsebuje postavke Domov, Statistika, Pravila igre in Račun, povezave na križanko, ki je prikazana na zaslonu, pa ne.</t>
  </si>
  <si>
    <t>Križanke ni med postavkami glavnega menija</t>
  </si>
  <si>
    <t>Uizard</t>
  </si>
  <si>
    <t>C</t>
  </si>
  <si>
    <t>Vrstica pod polji za vnos rešitev</t>
  </si>
  <si>
    <t>V vrstici pod polji za vnos rešitev  se besedili MESTO in Razkrij preostalo stikata brez presledka.</t>
  </si>
  <si>
    <t>Besedili se stikata brez presledka</t>
  </si>
  <si>
    <t>Okvir Zgodovina poskusov</t>
  </si>
  <si>
    <t>Številke v okvirju z zgodovino poskusov so majhne in poravnane enako kot črke v igralnih poljih.</t>
  </si>
  <si>
    <t>Številke v zgodovini poskusov so majhne in zamaknjene</t>
  </si>
  <si>
    <t>V glavnem meniju sta kot aktivni označeni postavki Beseda - Igra in Križanka, na zaslonu je igra Račun. Postavka Račun ni označena.</t>
  </si>
  <si>
    <t>V meniju sta označeni dve postavki, igra na zaslonu je tretja</t>
  </si>
  <si>
    <t>Okvirja Deljenje in Pomoč</t>
  </si>
  <si>
    <t>Okvirja Deljenje in Pomoč se stikata brez razmika.</t>
  </si>
  <si>
    <t>Med okvirjema Deljenje in Pomoč ni razmika</t>
  </si>
  <si>
    <t>5</t>
  </si>
  <si>
    <t>Gumb Prijava zgoraj desno</t>
  </si>
  <si>
    <t>Gumb Prijava v glavi je na tem zaslonu prikazan bolj bledo kot na zaslonu 4.</t>
  </si>
  <si>
    <t>Gumb Prijava je prikazan z nižjim kontrastom</t>
  </si>
  <si>
    <t>Besedilo Pravilna beseda pod naslovom</t>
  </si>
  <si>
    <t>Zaslon navaja Pravilna beseda: TRDNJA, vrstice v igralni mreži imajo pet polj.</t>
  </si>
  <si>
    <t>Razkrita beseda ima šest črk</t>
  </si>
  <si>
    <t>Osrednji del zaslona</t>
  </si>
  <si>
    <t>V osrednjem delu je zapisano, da besede ne razkrijemo, v drugih okvirjih na zaslonu pa je navedena pravilna beseda.</t>
  </si>
  <si>
    <t>Besedilo o razkritju besede si nasprotuje z drugim besedilom</t>
  </si>
  <si>
    <t>Okvir Napaka pri nalaganju igre</t>
  </si>
  <si>
    <t>Besedilo v okvirju z napako pri nalaganju igre sega izven okvirja.</t>
  </si>
  <si>
    <t>Besedilo v okvirju s sporočilom o napaki sega izven okvirja</t>
  </si>
  <si>
    <t>4</t>
  </si>
  <si>
    <t>Celoten zaslon</t>
  </si>
  <si>
    <t>Na zaslonu z napako je gumb za domačo stran, gumba za vrnitev na prejšnji zaslon pa ni.</t>
  </si>
  <si>
    <t>Gumba za izhod iz stanja napake ni</t>
  </si>
  <si>
    <t>Gumbi</t>
  </si>
  <si>
    <t>Besedilo v gumbih je odrezano, pri dveh gumbih je širše od gumba.</t>
  </si>
  <si>
    <t>Besedilo v gumbih je odrezano</t>
  </si>
  <si>
    <t>Glavni meni vsebuje postavko Beseda - Napaka enakovredno postavkama Beseda - Igra in Beseda - Pravila.</t>
  </si>
  <si>
    <t>Postavka Beseda - Napaka v glavnem meniju</t>
  </si>
  <si>
    <t>Levi stranski stolpec</t>
  </si>
  <si>
    <t>Levi stranski stolpec prikazuje status API-ja, avtentikacije in shranjevanja, regijo ter dnevnik poskusov ponovne povezave s kodami napak.</t>
  </si>
  <si>
    <t>Panel s tehničnimi podatki o strežniku</t>
  </si>
  <si>
    <t>Zgornji desni del glave</t>
  </si>
  <si>
    <t>Na tem zaslonu je v glavi prikazan gumb Prijava, na zaslonih 1 in 3 pa ime prijavljenega uporabnika.</t>
  </si>
  <si>
    <t>Namesto imena uporabnika je prikazan gumb Prijava</t>
  </si>
  <si>
    <t>Na zaslonu ni oznake, ki bi povedala, kje v aplikaciji je uporabnik.</t>
  </si>
  <si>
    <t>Z zaslona ni razvidno, kje se uporabnik nahaja</t>
  </si>
  <si>
    <t>Osrednje besedilo in gumbi</t>
  </si>
  <si>
    <t>Besedilo v osrednjem delu zaslona in v gumbih se prekriva.</t>
  </si>
  <si>
    <t>Besedilo v osrednjem delu zaslona se prekriva</t>
  </si>
  <si>
    <t>Oznaka poskusa nad igralno ploščo</t>
  </si>
  <si>
    <t>Oznaka trenutnega poskusa nad igralno ploščo se prekriva s sosednjim besedilom.</t>
  </si>
  <si>
    <t>Oznaka poskusa se prekriva s sosednjim besedilom</t>
  </si>
  <si>
    <t>3</t>
  </si>
  <si>
    <t>Okrogli avatar z inicialkama PN v zgornjem desnem kotu glave ni poravnan z besedilom Prijavljeno: Petra Novak in z menijem.</t>
  </si>
  <si>
    <t>Avatar v glavi ni poravnan z ostalimi elementi</t>
  </si>
  <si>
    <t>Vrh polja s črkami</t>
  </si>
  <si>
    <t>Poleg besede Poskus je zapisan dodaten znak, beseda za njim ni berljiva.</t>
  </si>
  <si>
    <t>Besedilo ob oznaki Poskus vsebuje dodaten znak</t>
  </si>
  <si>
    <t>Polja igralne mreže</t>
  </si>
  <si>
    <t>Črke v poljih igralne mreže so poravnane v zgornji levi kot polja.</t>
  </si>
  <si>
    <t>Črke v igralnih poljih so poravnane v zgornji levi kot</t>
  </si>
  <si>
    <t>Oznaka poskusa zgoraj levo nad igralno ploščo</t>
  </si>
  <si>
    <t>Oznaka Poskus X od 6 je zamaknjena in se delno prekriva z oznako Preostali poskusi.</t>
  </si>
  <si>
    <t>Oznaka Poskus X od 6 ni poravnana</t>
  </si>
  <si>
    <t>Razdelek s pomočjo pri igranju je postavljen med druge vsebinske sklope na zaslonu.</t>
  </si>
  <si>
    <t>Pomoč pri igranju je med drugimi vsebinskimi sklopi</t>
  </si>
  <si>
    <t>Razdelka Primer vrstic in Vizualni primeri</t>
  </si>
  <si>
    <t>Razdelek Primer vrstic prikazuje ploščice v treh slogih, razdelek Vizualni primeri uporabi dva od njih. Eden od slogov ustreza videzu ploščic v igri.</t>
  </si>
  <si>
    <t>Trije slogi prikaza ploščic na istem zaslonu</t>
  </si>
  <si>
    <t>Glavni meni zgoraj desno</t>
  </si>
  <si>
    <t>Postavke menija v glavi imajo med seboj različne odmike.</t>
  </si>
  <si>
    <t>Postavke glavnega menija niso enotno poravnane</t>
  </si>
  <si>
    <t>Polje Povezave desno</t>
  </si>
  <si>
    <t>V polju Povezave sta gumba Nazaj na igro in Prikaz rezultatov, ki se nanašata na že začeto igro in na že odigrane rezultate.</t>
  </si>
  <si>
    <t>Gumba Nazaj na igro in Prikaz rezultatov</t>
  </si>
  <si>
    <t>Razdelek Pogosta vprašanja</t>
  </si>
  <si>
    <t>V razdelku s pogostimi vprašanji je uporabljen izraz footer.</t>
  </si>
  <si>
    <t>Izraz footer v razdelku s pogostimi vprašanji</t>
  </si>
  <si>
    <t>Zeleni okvir s ciljem igre</t>
  </si>
  <si>
    <t>V zelenem okvirju s ciljem igre je zapisano Vnos S tipkovnico.</t>
  </si>
  <si>
    <t>Zapis Vnos S tipkovnico</t>
  </si>
  <si>
    <t>Sivi okvir Račun</t>
  </si>
  <si>
    <t>V sivem okvirju Račun je gumb Več enake barve kot ozadje okvirja.</t>
  </si>
  <si>
    <t>Gumb Več je enake barve kot ozadje okvirja</t>
  </si>
  <si>
    <t>Celoten zaslon, glava in osrednji del</t>
  </si>
  <si>
    <t>Besedilo v nekaterih elementih je zamaknjeno izven označenih polj, med drugim v glavi in v osrednjem delu strani.</t>
  </si>
  <si>
    <t>Besedilo ni poravnano znotraj okvirjev</t>
  </si>
  <si>
    <t>1–7</t>
  </si>
  <si>
    <t>Celoten zaslon, glava, kartice in spodnja vrstica</t>
  </si>
  <si>
    <t>Zaslon ponuja več ločenih skupin kontrolnikov, ki vodijo do začetka ene od treh iger, v glavi, na karticah in v spodnji vrstici.</t>
  </si>
  <si>
    <t>Več ločenih poti do začetka iste igre</t>
  </si>
  <si>
    <t>Zasloni vsebujejo veliko ločenih vsebinskih sklopov, na zaslonu 2 na primer cilj igre, vnos, barve, pogosta vprašanja, poštenost, dostopnost, bližnjice in vizualne primere.</t>
  </si>
  <si>
    <t>Na zaslonih je veliko ločenih vsebinskih sklopov</t>
  </si>
  <si>
    <t>Oznake na karticah iger</t>
  </si>
  <si>
    <t>Oznaka Dan 128 je prikazana v okvirju, oznake Težavnost in 36 namigov pa kot besedilo brez okvirja.</t>
  </si>
  <si>
    <t>Oznake so deloma v okvirju, deloma brez njega</t>
  </si>
  <si>
    <t>Spodnji levi del kartic iger</t>
  </si>
  <si>
    <t>Kartici Beseda in Račun v spodnjem levem delu prikazujeta kategorijo igre, kartica Križanka na istem mestu prikazuje število namigov.</t>
  </si>
  <si>
    <t>Kartice iger na istem mestu prikazujejo različne podatke</t>
  </si>
  <si>
    <t>Noga strani</t>
  </si>
  <si>
    <t>Noga na zaslonu 2 vsebuje stolpca povezav, ikone družbenih omrežij in pravne povezave, noga na zaslonu 1 je preprostejša.</t>
  </si>
  <si>
    <t>Noga strani se med zasloni razlikuje</t>
  </si>
  <si>
    <t>Glava strani, navigacijski meni</t>
  </si>
  <si>
    <t>Glava z navigacijo je na zaslonih tega prototipa oblikovana različno, postavke menija in prikaz prijavljenega uporabnika se med zasloni razlikujejo.</t>
  </si>
  <si>
    <t>Glava strani je med zasloni oblikovana različno</t>
  </si>
  <si>
    <t>Spodnji del strani, desno</t>
  </si>
  <si>
    <t>V spodnjem desnem delu strani je zapisano Hitro začni te z DANESŠNJO igro.</t>
  </si>
  <si>
    <t>Napaka v zapisu v spodnjem delu strani</t>
  </si>
  <si>
    <t>Ročni</t>
  </si>
  <si>
    <t>B</t>
  </si>
  <si>
    <t>Na zaslonih iger Račun in Križanka besedila z navodili za igranje ni.</t>
  </si>
  <si>
    <t>Navodila za igranje niso izpisana na zaslonu</t>
  </si>
  <si>
    <t>6, 7</t>
  </si>
  <si>
    <t>Oblaček</t>
  </si>
  <si>
    <t>Oblaček na tem zaslonu ni poravnan na sredino okvirja, na drugih zaslonih je poravnan drugače.</t>
  </si>
  <si>
    <t>Oblaček ni poravnan na sredino okvirja</t>
  </si>
  <si>
    <t>Zgornji desni kot</t>
  </si>
  <si>
    <t>Edini element, ki na teh zaslonih vodi do navodil igre, je ikona v zgornjem desnem kotu zaslona.</t>
  </si>
  <si>
    <t>Navodila igre odpre ikona v zgornjem desnem kotu</t>
  </si>
  <si>
    <t>3, 6, 7</t>
  </si>
  <si>
    <t>Na igralnem zaslonu besedila z navodili ni. Uporabnik si jih mora zapomniti z zaslona z navodili ali pa jih znova odpreti z ikono v zgornjem desnem kotu.</t>
  </si>
  <si>
    <t>Navodila za igranje niso izpisana na igralnem zaslonu</t>
  </si>
  <si>
    <t>Na zaslonu z navodili ni zapisano, kako uporabnik potrdi vneseno besedo.</t>
  </si>
  <si>
    <t>Potrditev vnosa besede ni opisana</t>
  </si>
  <si>
    <t>Gumb Ponastavi v glavi strani</t>
  </si>
  <si>
    <t>Gumb Ponastavi je v glavi strani, gumbi Preveri rešitev, Namig in Preveri polje pa pod igralno ploščo.</t>
  </si>
  <si>
    <t>Gumb Ponastavi je ločen od preostalih kontrolnikov igre</t>
  </si>
  <si>
    <t>Visily</t>
  </si>
  <si>
    <t>A</t>
  </si>
  <si>
    <t>Spodnji del zaslona</t>
  </si>
  <si>
    <t>Na zaslonu igre Križanka je v spodnjem delu polje z drugimi igrami, na preostalih zaslonih tega polja ni.</t>
  </si>
  <si>
    <t>Dodatno polje z drugimi igrami je le na tem zaslonu</t>
  </si>
  <si>
    <t>Na zaslonu igre Račun so uporabljene barvne oznake, razlage njihovega pomena na zaslonu ni.</t>
  </si>
  <si>
    <t>Pomeni barvnih oznak niso razloženi</t>
  </si>
  <si>
    <t>Navigacijska vrstica na vrhu strani</t>
  </si>
  <si>
    <t>Na zaslonu igre Račun in na zaslonu igre Križanka navigacijska vrstica navaja pot Domača stran, Beseda, Igra v teku.</t>
  </si>
  <si>
    <t>Navigacijska vrstica navaja igro Beseda na zaslonih drugih iger</t>
  </si>
  <si>
    <t>Noga strani, spodnji desni del</t>
  </si>
  <si>
    <t>Noga na zaslonu 5 navaja STATUS: ONLINE in različico v2.1.0-indigo, noga na zaslonu 7 pa Strežnik povezan in različico v1.4.2-indigo. Na zaslonih 1 do 4 in 6 teh oznak ni.</t>
  </si>
  <si>
    <t>Prikaz statusa in različice v nogi se razlikuje</t>
  </si>
  <si>
    <t>5, 7</t>
  </si>
  <si>
    <t>Osrednja kartica z rezultatom</t>
  </si>
  <si>
    <t>Ob zaključku igre sta na osrednji kartici gumba Deli rezultat in Nova igra ter kartica za Križanko, povezave na domačo stran pa na kartici ni.</t>
  </si>
  <si>
    <t>Na zaslonu s koncem igre ni povezave na domačo stran</t>
  </si>
  <si>
    <t>Sporočilo o neveljavnem vnosu je prikazano kot samostojna stran. Poleg sporočila in gumbov so na zaslonu še fotografija, trenutna statistika, nasvet za naslednji ugib in polje s povezavo na skupnost.</t>
  </si>
  <si>
    <t>Obvestilo o neveljavnem vnosu zavzema celoten zaslon</t>
  </si>
  <si>
    <t>Osrednje okno s sporočilom o napaki</t>
  </si>
  <si>
    <t>Osrednje okno s sporočilom o napaki vsebuje obsežno razlago, kaj je narobe in kaj naj uporabnik naredi.</t>
  </si>
  <si>
    <t>Razlaga napake v osrednjem oknu je obsežna</t>
  </si>
  <si>
    <t>Ilustracija nad sporočilom o napaki, ilustracija zgoraj desno</t>
  </si>
  <si>
    <t>Ilustracija nad sporočilom o napaki prikazuje ploščice z napisom WHY?, ilustracija ob naslovu Dnevna križanka pa napisa START in SPACE. Slog ploščic na ilustraciji se razlikuje od ploščic v igri.</t>
  </si>
  <si>
    <t>Ilustraciji vsebujeta angleško besedilo</t>
  </si>
  <si>
    <t>4, 7</t>
  </si>
  <si>
    <t>Oznaka Neveljaven vnos zgoraj desno</t>
  </si>
  <si>
    <t>Oznaka Neveljaven vnos je majhna in postavljena v zgornji desni kot, kartica z razlago napake je na sredini zaslona.</t>
  </si>
  <si>
    <t>Oznaka Neveljaven vnos je ločena od sporočila o napaki</t>
  </si>
  <si>
    <t>Desni stranski stolpec</t>
  </si>
  <si>
    <t>V desnem stranskem stolpcu sta med igro prikazana razdelka Današnji dosežki in Nova posodobitev.</t>
  </si>
  <si>
    <t>Razdelka z dosežki in obvestilom o posodobitvi med igro</t>
  </si>
  <si>
    <t>Razdelek Kako igrati</t>
  </si>
  <si>
    <t>Razdelek Kako igrati je postavljen v ozek stolpec, besedilo v njem se lomi v kratke vrstice.</t>
  </si>
  <si>
    <t>Ozek stolpec besedila v razdelku Kako igrati</t>
  </si>
  <si>
    <t>Gumb Oddaj ugib pod tipkovnico</t>
  </si>
  <si>
    <t>Mreža za vnos besede je prazna, gumb Oddaj ugib pod tipkovnico pa je prikazan v polni barvi.</t>
  </si>
  <si>
    <t>Gumb Oddaj ugib je prikazan v aktivni barvi pri prazni mreži</t>
  </si>
  <si>
    <t>Spodnji del strani</t>
  </si>
  <si>
    <t>Na zaslonih 3 in 6 v spodnjem delu strani ni noge.</t>
  </si>
  <si>
    <t>Noge strani ni</t>
  </si>
  <si>
    <t>3, 6</t>
  </si>
  <si>
    <t>Razdelek Kako igrati v levem stolpcu</t>
  </si>
  <si>
    <t>Besedilo v stranskem razdelku Kako igrati je formulirano drugače kot besedilo celotnih pravil igre.</t>
  </si>
  <si>
    <t>Slog besedila v razdelku Kako igrati se razlikuje od besedila pravil</t>
  </si>
  <si>
    <t>Gumb Začni z igro, gumb Igraj Beseda</t>
  </si>
  <si>
    <t>Na zaslonu sta gumb Začni z igro v polju Namig dneva in gumb Igraj Beseda v spodnjem delu strani.</t>
  </si>
  <si>
    <t>Dve različni oznaki za začetek igre</t>
  </si>
  <si>
    <t>Polje s primerom ugiba</t>
  </si>
  <si>
    <t>V polju s primerom ugiba za vejico in pred črko L ni presledka.</t>
  </si>
  <si>
    <t>Manjkajoča presledka v primeru ugiba</t>
  </si>
  <si>
    <t>Na zaslonu so elementi prikazani brez vidnega poudarka na eni vsebini pred drugo.</t>
  </si>
  <si>
    <t>Vsebina na domačem zaslonu ni razvrščena po pomembnosti</t>
  </si>
  <si>
    <t>Predogledne grafike iger</t>
  </si>
  <si>
    <t>Grafike v polju z dnevnimi izzivi na zaslonu 1 in v polju z drugimi današnjimi igrami na zaslonu 7 prikazujejo igre drugače, kot so prikazane na igralnih zaslonih.</t>
  </si>
  <si>
    <t>Predogledne grafike iger se razlikujejo od videza iger</t>
  </si>
  <si>
    <t>1, 7</t>
  </si>
  <si>
    <t>Navigacijska vrstica na vrhu strani, gumb Nazaj na igro</t>
  </si>
  <si>
    <t>Navigacijska vrstica na vrhu strani navaja pot Domača stran, Beseda, Igra v teku, na teh zaslonih pa igra ni začeta ali je že končana. Na zaslonu 2 je v zgornjem delu tudi gumb Nazaj na igro, na isti strani pa so gumbi za začetek igre.</t>
  </si>
  <si>
    <t>Navigacijska vrstica navaja igro v teku</t>
  </si>
  <si>
    <t>1, 2, 4, 5</t>
  </si>
  <si>
    <t>Vsota rangov</t>
  </si>
  <si>
    <t>Popolna</t>
  </si>
  <si>
    <t>Povprečna resnost</t>
  </si>
  <si>
    <t>Ocenjevalec 3</t>
  </si>
  <si>
    <t>Ocenjevalec 2</t>
  </si>
  <si>
    <t>Ocenjevalec 1</t>
  </si>
  <si>
    <t>Hevristika</t>
  </si>
  <si>
    <t>Mesto oziroma element</t>
  </si>
  <si>
    <t>Opis težave</t>
  </si>
  <si>
    <t>Naslov težave</t>
  </si>
  <si>
    <t>Zaslon</t>
  </si>
  <si>
    <t>Orodje</t>
  </si>
  <si>
    <t>Prototip</t>
  </si>
  <si>
    <t>Št.</t>
  </si>
  <si>
    <t>Združen seznam 72 težav iz prvega kroga z ocenami resnosti treh ocenjevalcev iz drugega kroga.</t>
  </si>
  <si>
    <t>Vsota ocen hevristik</t>
  </si>
  <si>
    <t>Vizualna hierarhija</t>
  </si>
  <si>
    <t>Število težav</t>
  </si>
  <si>
    <t>Konsistentnost</t>
  </si>
  <si>
    <t>Jasnost</t>
  </si>
  <si>
    <t>Povprečje A, C, D</t>
  </si>
  <si>
    <t>D – Figma Make</t>
  </si>
  <si>
    <t>C – Uizard</t>
  </si>
  <si>
    <t>B – Ročni</t>
  </si>
  <si>
    <t>A – Visily</t>
  </si>
  <si>
    <t>Kazalnik</t>
  </si>
  <si>
    <t>Področje</t>
  </si>
  <si>
    <t>H2 po področjih. Jasnost = hevristike 1, 2 in 9. Konsistentnost = hevristika 4. Vizualna hierarhija = hevristiki 6 in 8.</t>
  </si>
  <si>
    <t>Figma Make (D) minus ročni (B)</t>
  </si>
  <si>
    <t>Uizard (C) minus ročni (B)</t>
  </si>
  <si>
    <t>Visily (A) minus ročni (B)</t>
  </si>
  <si>
    <t>Skupne ocene po orodjih glede na ročni prototip</t>
  </si>
  <si>
    <t>Razlika presega prag</t>
  </si>
  <si>
    <t>Prag (10 % od 32 točk)</t>
  </si>
  <si>
    <t>Razlika</t>
  </si>
  <si>
    <t>Skupna ocena ročnega prototipa B</t>
  </si>
  <si>
    <t>Povprečje skupnih ocen A, C in D</t>
  </si>
  <si>
    <t>H1: povprečje skupnih ocen prototipov z umetno inteligenco proti ročnemu prototipu</t>
  </si>
  <si>
    <t>Povprečna resnost težav po prototipu</t>
  </si>
  <si>
    <t>Skupaj težav</t>
  </si>
  <si>
    <t>Pomoč in dokumentacija</t>
  </si>
  <si>
    <t>Pomoč pri prepoznavanju in odpravljanju napak</t>
  </si>
  <si>
    <t>Estetsko in minimalistično oblikovanje</t>
  </si>
  <si>
    <t>Prilagodljivost in učinkovitost uporabe</t>
  </si>
  <si>
    <t>Prepoznavanje namesto pomnjenja</t>
  </si>
  <si>
    <t>Preprečevanje napak</t>
  </si>
  <si>
    <t>Konsistentnost in standardi</t>
  </si>
  <si>
    <t>Nadzor in svoboda uporabnika</t>
  </si>
  <si>
    <t>Ujemanje sistema z resničnim svetom</t>
  </si>
  <si>
    <t>Vidnost stanja sistema</t>
  </si>
  <si>
    <t>Skupaj</t>
  </si>
  <si>
    <t>Število evidentiranih težav po hevristikah</t>
  </si>
  <si>
    <t>Največja možna ocena</t>
  </si>
  <si>
    <t>Skupna ocena prototipa</t>
  </si>
  <si>
    <t>Ocene po hevristikah</t>
  </si>
  <si>
    <t>Ocena hevristike je najvišja povprečna resnost med težavami, ki so ji pripisane. Skupna ocena prototipa je vsota ocen po osmih ocenljivih hevristikah. Hevristiki 5 in 7 sta izključeni iz izračuna.</t>
  </si>
  <si>
    <t>n</t>
  </si>
  <si>
    <t>W</t>
  </si>
  <si>
    <t>Povzetek</t>
  </si>
  <si>
    <t>ΣT</t>
  </si>
  <si>
    <t>Ocena</t>
  </si>
  <si>
    <t>Popravek za vezi, t³ − t po oceni in ocenjevalcu</t>
  </si>
  <si>
    <t>S</t>
  </si>
  <si>
    <t>Povprečna vsota rangov</t>
  </si>
  <si>
    <t>n (število težav)</t>
  </si>
  <si>
    <t>Prototip D – Figma Make</t>
  </si>
  <si>
    <t>Prototip C – Uizard</t>
  </si>
  <si>
    <t>Prototip B – Ročni</t>
  </si>
  <si>
    <t>Prototip A – Visily</t>
  </si>
  <si>
    <t>W = 12 × S / ( m² × (n³ − n) − m × ΣT )</t>
  </si>
  <si>
    <t>Kendallov koeficient skladnosti W s popravkom za vezane vrednosti, ločeno po prototipih. m = 3 ocenjevalci, n = število težav v prototipu.</t>
  </si>
  <si>
    <t>2 pravilna odgovora od 3.</t>
  </si>
  <si>
    <t>Najmanj kompliciran način izdelave; napake, ki so običajne pri ročni izdelavi</t>
  </si>
  <si>
    <t>Prototip B je najbolj estetsko in funkcionalno dodelan. Odločal sem se med prototipoma B in D, ki sta za razliko od drugih dveh precej izpopolnjena. A na koncu je prevladal prototip B, saj pri zaslonski tipkovnici ne vsebuje tujih črk (Q, X, Y, W, ...), ki jih za iskanje slovenske besede tako ali tako ne bi potrebovali. Taka stopnja detajlov loči ročno delo od umetne inteligence.</t>
  </si>
  <si>
    <t>Izdelan je konsistentno skozi vse strani</t>
  </si>
  <si>
    <t>Utemeljitev</t>
  </si>
  <si>
    <t>Pravilno</t>
  </si>
  <si>
    <t>Odgovor</t>
  </si>
  <si>
    <t>Ocenjevalec</t>
  </si>
  <si>
    <t>Kateri prototip je bil po mnenju ocenjevalca izdelan ročno? Pravilni odgovor je B.</t>
  </si>
  <si>
    <t>10. Pomoč in dokumentacija</t>
  </si>
  <si>
    <t>9. Pomoč pri prepoznavanju in odpravljanju napak</t>
  </si>
  <si>
    <t>8. Estetsko in minimalistično oblikovanje</t>
  </si>
  <si>
    <t>7. Prilagodljivost in učinkovitost uporabe (izključena)</t>
  </si>
  <si>
    <t>6. Prepoznavanje namesto pomnjenja</t>
  </si>
  <si>
    <t>5. Preprečevanje napak (izključena)</t>
  </si>
  <si>
    <t>4. Konsistentnost in standardi</t>
  </si>
  <si>
    <t>3. Nadzor in svoboda uporabnika</t>
  </si>
  <si>
    <t>2. Ujemanje sistema z resničnim svetom</t>
  </si>
  <si>
    <t>1. Vidnost stanja sistema</t>
  </si>
  <si>
    <t>Vrednost</t>
  </si>
  <si>
    <t>Kategorija</t>
  </si>
  <si>
    <t>Število odkritih težav po hevristikah</t>
  </si>
  <si>
    <t>Število odkritih težav po prototipih</t>
  </si>
  <si>
    <t>Povprečna resnost težav po hevristikah</t>
  </si>
  <si>
    <t>Rang Ocenjevalec1</t>
  </si>
  <si>
    <t>Rang Ocenjevalec 2</t>
  </si>
  <si>
    <t>Rang Ocenjevalec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</si>
</sst>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8" x14ac:knownFonts="1">
    <font>
      <sz val="12"/>
      <color theme="1"/>
      <name val="Aptos Narrow"/>
      <family val="2"/>
      <scheme val="minor"/>
    </font>
    <font>
      <sz val="11"/>
      <color theme="1"/>
      <name val="Calibri"/>
      <family val="2"/>
      <charset val="1"/>
    </font>
    <font>
      <sz val="10"/>
      <name val="Arial"/>
      <family val="2"/>
    </font>
    <font>
      <b/>
      <sz val="10"/>
      <name val="Arial"/>
      <family val="2"/>
    </font>
    <font>
      <sz val="11"/>
      <color theme="1"/>
      <name val="Aptos Narrow"/>
      <family val="2"/>
      <scheme val="minor"/>
    </font>
    <font>
      <sz val="10"/>
      <name val="Aptos Narrow"/>
      <family val="2"/>
      <scheme val="minor"/>
    </font>
    <font>
      <i/>
      <sz val="10"/>
      <name val="Arial"/>
      <family val="2"/>
    </font>
    <font>
      <sz val="14"/>
      <name val="Calibri"/>
      <family val="2"/>
    </font>
    <font>
      <sz val="12"/>
      <color theme="1"/>
      <name val="Calibri"/>
      <family val="2"/>
    </font>
    <font>
      <i/>
      <sz val="12"/>
      <name val="Calibri"/>
      <family val="2"/>
    </font>
    <font>
      <b/>
      <sz val="12"/>
      <name val="Calibri"/>
      <family val="2"/>
    </font>
    <font>
      <sz val="12"/>
      <name val="Calibri"/>
      <family val="2"/>
    </font>
    <font>
      <sz val="11"/>
      <color theme="1"/>
      <name val="Calibri"/>
      <family val="2"/>
    </font>
    <font>
      <b/>
      <sz val="10"/>
      <name val="Calibri"/>
      <family val="2"/>
    </font>
    <font>
      <sz val="10"/>
      <name val="Calibri"/>
      <family val="2"/>
    </font>
    <font>
      <b/>
      <sz val="14"/>
      <name val="Calibri"/>
      <family val="2"/>
    </font>
    <font>
      <i/>
      <sz val="10"/>
      <name val="Calibri"/>
      <family val="2"/>
    </font>
    <font>
      <b/>
      <sz val="14"/>
      <color theme="1"/>
      <name val="Calibri"/>
      <family val="2"/>
    </font>
  </fonts>
  <fills count="5">
    <fill>
      <patternFill patternType="none"/>
    </fill>
    <fill>
      <patternFill patternType="gray125"/>
    </fill>
    <fill>
      <patternFill patternType="solid">
        <fgColor rgb="FFD9E1F2"/>
        <bgColor rgb="FFD9D9D9"/>
      </patternFill>
    </fill>
    <fill>
      <patternFill patternType="solid">
        <fgColor rgb="FFEFEFEF"/>
        <bgColor rgb="FFD9E1F2"/>
      </patternFill>
    </fill>
    <fill>
      <patternFill patternType="solid">
        <fgColor theme="3" tint="0.89999084444715716"/>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 fillId="0" borderId="0"/>
  </cellStyleXfs>
  <cellXfs count="46">
    <xf numFmtId="0" fontId="0" fillId="0" borderId="0" xfId="0"/>
    <xf numFmtId="0" fontId="1" fillId="0" borderId="0" xfId="1"/>
    <xf numFmtId="0" fontId="2" fillId="0" borderId="1" xfId="1" applyFont="1" applyBorder="1" applyAlignment="1">
      <alignment horizontal="center"/>
    </xf>
    <xf numFmtId="0" fontId="3" fillId="2" borderId="1" xfId="1" applyFont="1" applyFill="1" applyBorder="1" applyAlignment="1">
      <alignment horizontal="center" vertical="center" wrapText="1"/>
    </xf>
    <xf numFmtId="0" fontId="4" fillId="0" borderId="0" xfId="1" applyFont="1"/>
    <xf numFmtId="0" fontId="6" fillId="0" borderId="0" xfId="1" applyFont="1"/>
    <xf numFmtId="0" fontId="7" fillId="0" borderId="0" xfId="1" applyFont="1"/>
    <xf numFmtId="0" fontId="8" fillId="0" borderId="0" xfId="1" applyFont="1"/>
    <xf numFmtId="0" fontId="9" fillId="0" borderId="0" xfId="1" applyFont="1"/>
    <xf numFmtId="0" fontId="10" fillId="2" borderId="1" xfId="1" applyFont="1" applyFill="1" applyBorder="1" applyAlignment="1">
      <alignment horizontal="center" vertical="center" wrapText="1"/>
    </xf>
    <xf numFmtId="0" fontId="11" fillId="0" borderId="1" xfId="1" applyFont="1" applyBorder="1" applyAlignment="1">
      <alignment horizontal="center" vertical="top"/>
    </xf>
    <xf numFmtId="0" fontId="11" fillId="0" borderId="1" xfId="1" applyFont="1" applyBorder="1" applyAlignment="1">
      <alignment vertical="top" wrapText="1"/>
    </xf>
    <xf numFmtId="2" fontId="11" fillId="0" borderId="1" xfId="1" applyNumberFormat="1" applyFont="1" applyBorder="1" applyAlignment="1">
      <alignment horizontal="center"/>
    </xf>
    <xf numFmtId="0" fontId="12" fillId="0" borderId="0" xfId="1" applyFont="1"/>
    <xf numFmtId="0" fontId="13" fillId="0" borderId="0" xfId="1" applyFont="1"/>
    <xf numFmtId="0" fontId="13" fillId="2" borderId="1" xfId="1" applyFont="1" applyFill="1" applyBorder="1" applyAlignment="1">
      <alignment horizontal="center" wrapText="1"/>
    </xf>
    <xf numFmtId="0" fontId="14" fillId="0" borderId="1" xfId="1" applyFont="1" applyBorder="1" applyAlignment="1">
      <alignment horizontal="center"/>
    </xf>
    <xf numFmtId="0" fontId="14" fillId="0" borderId="1" xfId="1" applyFont="1" applyBorder="1"/>
    <xf numFmtId="2" fontId="14" fillId="0" borderId="1" xfId="1" applyNumberFormat="1" applyFont="1" applyBorder="1" applyAlignment="1">
      <alignment horizontal="center"/>
    </xf>
    <xf numFmtId="2" fontId="14" fillId="3" borderId="1" xfId="1" applyNumberFormat="1" applyFont="1" applyFill="1" applyBorder="1" applyAlignment="1">
      <alignment horizontal="center"/>
    </xf>
    <xf numFmtId="0" fontId="12" fillId="0" borderId="1" xfId="1" applyFont="1" applyBorder="1"/>
    <xf numFmtId="0" fontId="13" fillId="0" borderId="1" xfId="1" applyFont="1" applyBorder="1"/>
    <xf numFmtId="2" fontId="13" fillId="0" borderId="1" xfId="1" applyNumberFormat="1" applyFont="1" applyBorder="1" applyAlignment="1">
      <alignment horizontal="center"/>
    </xf>
    <xf numFmtId="0" fontId="15" fillId="0" borderId="0" xfId="1" applyFont="1"/>
    <xf numFmtId="0" fontId="14" fillId="3" borderId="1" xfId="1" applyFont="1" applyFill="1" applyBorder="1" applyAlignment="1">
      <alignment horizontal="center"/>
    </xf>
    <xf numFmtId="0" fontId="13" fillId="0" borderId="1" xfId="1" applyFont="1" applyBorder="1" applyAlignment="1">
      <alignment horizontal="center"/>
    </xf>
    <xf numFmtId="0" fontId="14" fillId="0" borderId="0" xfId="1" applyFont="1"/>
    <xf numFmtId="0" fontId="16" fillId="0" borderId="0" xfId="1" applyFont="1"/>
    <xf numFmtId="2" fontId="14" fillId="0" borderId="0" xfId="1" applyNumberFormat="1" applyFont="1"/>
    <xf numFmtId="164" fontId="13" fillId="0" borderId="0" xfId="1" applyNumberFormat="1" applyFont="1"/>
    <xf numFmtId="164" fontId="14" fillId="0" borderId="1" xfId="1" applyNumberFormat="1" applyFont="1" applyBorder="1"/>
    <xf numFmtId="0" fontId="15" fillId="2" borderId="1" xfId="1" applyFont="1" applyFill="1" applyBorder="1" applyAlignment="1">
      <alignment horizontal="center"/>
    </xf>
    <xf numFmtId="0" fontId="14" fillId="0" borderId="1" xfId="1" applyFont="1" applyBorder="1" applyAlignment="1">
      <alignment vertical="top" wrapText="1"/>
    </xf>
    <xf numFmtId="0" fontId="13" fillId="0" borderId="0" xfId="1" applyFont="1" applyAlignment="1">
      <alignment horizontal="center"/>
    </xf>
    <xf numFmtId="0" fontId="13" fillId="2" borderId="1" xfId="1" applyFont="1" applyFill="1" applyBorder="1"/>
    <xf numFmtId="1" fontId="14" fillId="0" borderId="1" xfId="1" applyNumberFormat="1" applyFont="1" applyBorder="1"/>
    <xf numFmtId="2" fontId="14" fillId="0" borderId="1" xfId="1" applyNumberFormat="1" applyFont="1" applyBorder="1"/>
    <xf numFmtId="0" fontId="5" fillId="0" borderId="1" xfId="0" applyFont="1" applyBorder="1" applyAlignment="1">
      <alignment horizontal="center"/>
    </xf>
    <xf numFmtId="0" fontId="5" fillId="0" borderId="1" xfId="0" applyFont="1" applyBorder="1"/>
    <xf numFmtId="0" fontId="0" fillId="4" borderId="0" xfId="0" applyFill="1"/>
    <xf numFmtId="0" fontId="17" fillId="4" borderId="0" xfId="0" applyFont="1" applyFill="1"/>
    <xf numFmtId="0" fontId="0" fillId="4" borderId="0" xfId="0" applyFill="1" applyAlignment="1">
      <alignment horizontal="center"/>
    </xf>
    <xf numFmtId="0" fontId="0" fillId="0" borderId="0" xfId="0" applyAlignment="1">
      <alignment horizontal="center"/>
    </xf>
    <xf numFmtId="0" fontId="15" fillId="4" borderId="0" xfId="1" applyFont="1" applyFill="1"/>
    <xf numFmtId="0" fontId="12" fillId="4" borderId="0" xfId="1" applyFont="1" applyFill="1"/>
    <xf numFmtId="0" fontId="13" fillId="4" borderId="0" xfId="1" applyFont="1" applyFill="1"/>
  </cellXfs>
  <cellStyles count="2">
    <cellStyle name="Normal" xfId="0" builtinId="0"/>
    <cellStyle name="Normal 2" xfId="1" xr:uid="{34D5F484-0654-0D45-A8D2-5862C139EE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Število odkritih težav po prototipih</a:t>
            </a:r>
          </a:p>
        </c:rich>
      </c:tx>
      <c:overlay val="0"/>
      <c:spPr>
        <a:noFill/>
        <a:ln w="0">
          <a:noFill/>
        </a:ln>
      </c:spPr>
    </c:title>
    <c:autoTitleDeleted val="0"/>
    <c:plotArea>
      <c:layout/>
      <c:barChart>
        <c:barDir val="col"/>
        <c:grouping val="clustered"/>
        <c:varyColors val="0"/>
        <c:ser>
          <c:idx val="0"/>
          <c:order val="0"/>
          <c:tx>
            <c:strRef>
              <c:f>Grafi!$B$4</c:f>
              <c:strCache>
                <c:ptCount val="1"/>
                <c:pt idx="0">
                  <c:v>Vrednost</c:v>
                </c:pt>
              </c:strCache>
            </c:strRef>
          </c:tx>
          <c:spPr>
            <a:solidFill>
              <a:srgbClr val="8C9BB5"/>
            </a:solidFill>
            <a:ln w="0">
              <a:noFill/>
            </a:ln>
          </c:spPr>
          <c:invertIfNegative val="0"/>
          <c:dPt>
            <c:idx val="1"/>
            <c:invertIfNegative val="0"/>
            <c:bubble3D val="0"/>
            <c:spPr>
              <a:solidFill>
                <a:srgbClr val="3B4A6B"/>
              </a:solidFill>
              <a:ln w="0">
                <a:noFill/>
              </a:ln>
            </c:spPr>
            <c:extLst>
              <c:ext xmlns:c16="http://schemas.microsoft.com/office/drawing/2014/chart" uri="{C3380CC4-5D6E-409C-BE32-E72D297353CC}">
                <c16:uniqueId val="{00000001-B962-564C-A781-D41ACC8A74F6}"/>
              </c:ext>
            </c:extLst>
          </c:dPt>
          <c:dLbls>
            <c:dLbl>
              <c:idx val="1"/>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B962-564C-A781-D41ACC8A74F6}"/>
                </c:ext>
              </c:extLst>
            </c:dLbl>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Grafi!$A$5:$A$8</c:f>
              <c:strCache>
                <c:ptCount val="4"/>
                <c:pt idx="0">
                  <c:v>A – Visily</c:v>
                </c:pt>
                <c:pt idx="1">
                  <c:v>B – Ročni</c:v>
                </c:pt>
                <c:pt idx="2">
                  <c:v>C – Uizard</c:v>
                </c:pt>
                <c:pt idx="3">
                  <c:v>D – Figma Make</c:v>
                </c:pt>
              </c:strCache>
            </c:strRef>
          </c:cat>
          <c:val>
            <c:numRef>
              <c:f>Grafi!$B$5:$B$8</c:f>
              <c:numCache>
                <c:formatCode>0</c:formatCode>
                <c:ptCount val="4"/>
                <c:pt idx="0">
                  <c:v>21</c:v>
                </c:pt>
                <c:pt idx="1">
                  <c:v>6</c:v>
                </c:pt>
                <c:pt idx="2">
                  <c:v>36</c:v>
                </c:pt>
                <c:pt idx="3">
                  <c:v>9</c:v>
                </c:pt>
              </c:numCache>
            </c:numRef>
          </c:val>
          <c:extLst>
            <c:ext xmlns:c16="http://schemas.microsoft.com/office/drawing/2014/chart" uri="{C3380CC4-5D6E-409C-BE32-E72D297353CC}">
              <c16:uniqueId val="{00000002-B962-564C-A781-D41ACC8A74F6}"/>
            </c:ext>
          </c:extLst>
        </c:ser>
        <c:dLbls>
          <c:showLegendKey val="0"/>
          <c:showVal val="0"/>
          <c:showCatName val="0"/>
          <c:showSerName val="0"/>
          <c:showPercent val="0"/>
          <c:showBubbleSize val="0"/>
        </c:dLbls>
        <c:gapWidth val="60"/>
        <c:axId val="52577140"/>
        <c:axId val="38474193"/>
      </c:barChart>
      <c:catAx>
        <c:axId val="5257714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474193"/>
        <c:crosses val="autoZero"/>
        <c:auto val="1"/>
        <c:lblAlgn val="ctr"/>
        <c:lblOffset val="100"/>
        <c:noMultiLvlLbl val="0"/>
      </c:catAx>
      <c:valAx>
        <c:axId val="3847419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Število težav</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257714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Skupna ocena prototipa (od 32 točk)</a:t>
            </a:r>
          </a:p>
        </c:rich>
      </c:tx>
      <c:overlay val="0"/>
      <c:spPr>
        <a:noFill/>
        <a:ln w="0">
          <a:noFill/>
        </a:ln>
      </c:spPr>
    </c:title>
    <c:autoTitleDeleted val="0"/>
    <c:plotArea>
      <c:layout/>
      <c:barChart>
        <c:barDir val="col"/>
        <c:grouping val="clustered"/>
        <c:varyColors val="0"/>
        <c:ser>
          <c:idx val="0"/>
          <c:order val="0"/>
          <c:tx>
            <c:strRef>
              <c:f>Grafi!$B$11</c:f>
              <c:strCache>
                <c:ptCount val="1"/>
                <c:pt idx="0">
                  <c:v>Vrednost</c:v>
                </c:pt>
              </c:strCache>
            </c:strRef>
          </c:tx>
          <c:spPr>
            <a:solidFill>
              <a:srgbClr val="8C9BB5"/>
            </a:solidFill>
            <a:ln w="0">
              <a:noFill/>
            </a:ln>
          </c:spPr>
          <c:invertIfNegative val="0"/>
          <c:dPt>
            <c:idx val="1"/>
            <c:invertIfNegative val="0"/>
            <c:bubble3D val="0"/>
            <c:spPr>
              <a:solidFill>
                <a:srgbClr val="3B4A6B"/>
              </a:solidFill>
              <a:ln w="0">
                <a:noFill/>
              </a:ln>
            </c:spPr>
            <c:extLst>
              <c:ext xmlns:c16="http://schemas.microsoft.com/office/drawing/2014/chart" uri="{C3380CC4-5D6E-409C-BE32-E72D297353CC}">
                <c16:uniqueId val="{00000001-28B9-9147-BC80-1A80B9296C8D}"/>
              </c:ext>
            </c:extLst>
          </c:dPt>
          <c:dLbls>
            <c:dLbl>
              <c:idx val="1"/>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28B9-9147-BC80-1A80B9296C8D}"/>
                </c:ext>
              </c:extLst>
            </c:dLbl>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Grafi!$A$12:$A$15</c:f>
              <c:strCache>
                <c:ptCount val="4"/>
                <c:pt idx="0">
                  <c:v>A – Visily</c:v>
                </c:pt>
                <c:pt idx="1">
                  <c:v>B – Ročni</c:v>
                </c:pt>
                <c:pt idx="2">
                  <c:v>C – Uizard</c:v>
                </c:pt>
                <c:pt idx="3">
                  <c:v>D – Figma Make</c:v>
                </c:pt>
              </c:strCache>
            </c:strRef>
          </c:cat>
          <c:val>
            <c:numRef>
              <c:f>Grafi!$B$12:$B$15</c:f>
              <c:numCache>
                <c:formatCode>0.00</c:formatCode>
                <c:ptCount val="4"/>
                <c:pt idx="0">
                  <c:v>18.333333333333336</c:v>
                </c:pt>
                <c:pt idx="1">
                  <c:v>13.666666666666668</c:v>
                </c:pt>
                <c:pt idx="2">
                  <c:v>21.333333333333332</c:v>
                </c:pt>
                <c:pt idx="3">
                  <c:v>13</c:v>
                </c:pt>
              </c:numCache>
            </c:numRef>
          </c:val>
          <c:extLst>
            <c:ext xmlns:c16="http://schemas.microsoft.com/office/drawing/2014/chart" uri="{C3380CC4-5D6E-409C-BE32-E72D297353CC}">
              <c16:uniqueId val="{00000002-28B9-9147-BC80-1A80B9296C8D}"/>
            </c:ext>
          </c:extLst>
        </c:ser>
        <c:dLbls>
          <c:showLegendKey val="0"/>
          <c:showVal val="0"/>
          <c:showCatName val="0"/>
          <c:showSerName val="0"/>
          <c:showPercent val="0"/>
          <c:showBubbleSize val="0"/>
        </c:dLbls>
        <c:gapWidth val="60"/>
        <c:axId val="7308352"/>
        <c:axId val="12164859"/>
      </c:barChart>
      <c:catAx>
        <c:axId val="730835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2164859"/>
        <c:crosses val="autoZero"/>
        <c:auto val="1"/>
        <c:lblAlgn val="ctr"/>
        <c:lblOffset val="100"/>
        <c:noMultiLvlLbl val="0"/>
      </c:catAx>
      <c:valAx>
        <c:axId val="12164859"/>
        <c:scaling>
          <c:orientation val="minMax"/>
          <c:max val="32"/>
          <c:min val="0"/>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Točke</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30835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Število odkritih težav po hevristikah</a:t>
            </a:r>
          </a:p>
        </c:rich>
      </c:tx>
      <c:overlay val="0"/>
      <c:spPr>
        <a:noFill/>
        <a:ln w="0">
          <a:noFill/>
        </a:ln>
      </c:spPr>
    </c:title>
    <c:autoTitleDeleted val="0"/>
    <c:plotArea>
      <c:layout/>
      <c:barChart>
        <c:barDir val="bar"/>
        <c:grouping val="clustered"/>
        <c:varyColors val="0"/>
        <c:ser>
          <c:idx val="0"/>
          <c:order val="0"/>
          <c:tx>
            <c:strRef>
              <c:f>Grafi!$B$18</c:f>
              <c:strCache>
                <c:ptCount val="1"/>
                <c:pt idx="0">
                  <c:v>Vrednost</c:v>
                </c:pt>
              </c:strCache>
            </c:strRef>
          </c:tx>
          <c:spPr>
            <a:solidFill>
              <a:srgbClr val="8C9BB5"/>
            </a:solidFill>
            <a:ln w="0">
              <a:noFill/>
            </a:ln>
          </c:spPr>
          <c:invertIfNegative val="0"/>
          <c:dPt>
            <c:idx val="4"/>
            <c:invertIfNegative val="0"/>
            <c:bubble3D val="0"/>
            <c:spPr>
              <a:solidFill>
                <a:srgbClr val="CDD3DD"/>
              </a:solidFill>
              <a:ln w="0">
                <a:noFill/>
              </a:ln>
            </c:spPr>
            <c:extLst>
              <c:ext xmlns:c16="http://schemas.microsoft.com/office/drawing/2014/chart" uri="{C3380CC4-5D6E-409C-BE32-E72D297353CC}">
                <c16:uniqueId val="{00000001-5C8C-EC4D-A026-16D6A0640241}"/>
              </c:ext>
            </c:extLst>
          </c:dPt>
          <c:dPt>
            <c:idx val="6"/>
            <c:invertIfNegative val="0"/>
            <c:bubble3D val="0"/>
            <c:spPr>
              <a:solidFill>
                <a:srgbClr val="CDD3DD"/>
              </a:solidFill>
              <a:ln w="0">
                <a:noFill/>
              </a:ln>
            </c:spPr>
            <c:extLst>
              <c:ext xmlns:c16="http://schemas.microsoft.com/office/drawing/2014/chart" uri="{C3380CC4-5D6E-409C-BE32-E72D297353CC}">
                <c16:uniqueId val="{00000003-5C8C-EC4D-A026-16D6A0640241}"/>
              </c:ext>
            </c:extLst>
          </c:dPt>
          <c:dLbls>
            <c:dLbl>
              <c:idx val="4"/>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5C8C-EC4D-A026-16D6A0640241}"/>
                </c:ext>
              </c:extLst>
            </c:dLbl>
            <c:dLbl>
              <c:idx val="6"/>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5C8C-EC4D-A026-16D6A0640241}"/>
                </c:ext>
              </c:extLst>
            </c:dLbl>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Grafi!$A$19:$A$28</c:f>
              <c:strCache>
                <c:ptCount val="10"/>
                <c:pt idx="0">
                  <c:v>1. Vidnost stanja sistema</c:v>
                </c:pt>
                <c:pt idx="1">
                  <c:v>2. Ujemanje sistema z resničnim svetom</c:v>
                </c:pt>
                <c:pt idx="2">
                  <c:v>3. Nadzor in svoboda uporabnika</c:v>
                </c:pt>
                <c:pt idx="3">
                  <c:v>4. Konsistentnost in standardi</c:v>
                </c:pt>
                <c:pt idx="4">
                  <c:v>5. Preprečevanje napak (izključena)</c:v>
                </c:pt>
                <c:pt idx="5">
                  <c:v>6. Prepoznavanje namesto pomnjenja</c:v>
                </c:pt>
                <c:pt idx="6">
                  <c:v>7. Prilagodljivost in učinkovitost uporabe (izključena)</c:v>
                </c:pt>
                <c:pt idx="7">
                  <c:v>8. Estetsko in minimalistično oblikovanje</c:v>
                </c:pt>
                <c:pt idx="8">
                  <c:v>9. Pomoč pri prepoznavanju in odpravljanju napak</c:v>
                </c:pt>
                <c:pt idx="9">
                  <c:v>10. Pomoč in dokumentacija</c:v>
                </c:pt>
              </c:strCache>
            </c:strRef>
          </c:cat>
          <c:val>
            <c:numRef>
              <c:f>Grafi!$B$19:$B$28</c:f>
              <c:numCache>
                <c:formatCode>0</c:formatCode>
                <c:ptCount val="10"/>
                <c:pt idx="0">
                  <c:v>16</c:v>
                </c:pt>
                <c:pt idx="1">
                  <c:v>13</c:v>
                </c:pt>
                <c:pt idx="2">
                  <c:v>4</c:v>
                </c:pt>
                <c:pt idx="3">
                  <c:v>21</c:v>
                </c:pt>
                <c:pt idx="4">
                  <c:v>1</c:v>
                </c:pt>
                <c:pt idx="5">
                  <c:v>3</c:v>
                </c:pt>
                <c:pt idx="6">
                  <c:v>0</c:v>
                </c:pt>
                <c:pt idx="7">
                  <c:v>11</c:v>
                </c:pt>
                <c:pt idx="8">
                  <c:v>0</c:v>
                </c:pt>
                <c:pt idx="9">
                  <c:v>3</c:v>
                </c:pt>
              </c:numCache>
            </c:numRef>
          </c:val>
          <c:extLst>
            <c:ext xmlns:c16="http://schemas.microsoft.com/office/drawing/2014/chart" uri="{C3380CC4-5D6E-409C-BE32-E72D297353CC}">
              <c16:uniqueId val="{00000004-5C8C-EC4D-A026-16D6A0640241}"/>
            </c:ext>
          </c:extLst>
        </c:ser>
        <c:dLbls>
          <c:showLegendKey val="0"/>
          <c:showVal val="0"/>
          <c:showCatName val="0"/>
          <c:showSerName val="0"/>
          <c:showPercent val="0"/>
          <c:showBubbleSize val="0"/>
        </c:dLbls>
        <c:gapWidth val="50"/>
        <c:axId val="39255365"/>
        <c:axId val="99548661"/>
      </c:barChart>
      <c:catAx>
        <c:axId val="39255365"/>
        <c:scaling>
          <c:orientation val="maxMin"/>
        </c:scaling>
        <c:delete val="0"/>
        <c:axPos val="l"/>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Število težav</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9548661"/>
        <c:crosses val="autoZero"/>
        <c:auto val="1"/>
        <c:lblAlgn val="ctr"/>
        <c:lblOffset val="100"/>
        <c:noMultiLvlLbl val="0"/>
      </c:catAx>
      <c:valAx>
        <c:axId val="99548661"/>
        <c:scaling>
          <c:orientation val="minMax"/>
        </c:scaling>
        <c:delete val="0"/>
        <c:axPos val="t"/>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925536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0</xdr:colOff>
      <xdr:row>2</xdr:row>
      <xdr:rowOff>0</xdr:rowOff>
    </xdr:from>
    <xdr:ext cx="6199920" cy="2879460"/>
    <xdr:graphicFrame macro="">
      <xdr:nvGraphicFramePr>
        <xdr:cNvPr id="2" name="Chart 1">
          <a:extLst>
            <a:ext uri="{FF2B5EF4-FFF2-40B4-BE49-F238E27FC236}">
              <a16:creationId xmlns:a16="http://schemas.microsoft.com/office/drawing/2014/main" id="{94E96E3D-9394-BD4B-B118-0FB21D6E74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3</xdr:col>
      <xdr:colOff>0</xdr:colOff>
      <xdr:row>19</xdr:row>
      <xdr:rowOff>0</xdr:rowOff>
    </xdr:from>
    <xdr:ext cx="6199920" cy="2879460"/>
    <xdr:graphicFrame macro="">
      <xdr:nvGraphicFramePr>
        <xdr:cNvPr id="3" name="Chart 2">
          <a:extLst>
            <a:ext uri="{FF2B5EF4-FFF2-40B4-BE49-F238E27FC236}">
              <a16:creationId xmlns:a16="http://schemas.microsoft.com/office/drawing/2014/main" id="{1D699572-EB92-C84B-9C16-9E0C039E9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3</xdr:col>
      <xdr:colOff>0</xdr:colOff>
      <xdr:row>36</xdr:row>
      <xdr:rowOff>0</xdr:rowOff>
    </xdr:from>
    <xdr:ext cx="6968680" cy="3959760"/>
    <xdr:graphicFrame macro="">
      <xdr:nvGraphicFramePr>
        <xdr:cNvPr id="4" name="Chart 3">
          <a:extLst>
            <a:ext uri="{FF2B5EF4-FFF2-40B4-BE49-F238E27FC236}">
              <a16:creationId xmlns:a16="http://schemas.microsoft.com/office/drawing/2014/main" id="{7819FB93-F59A-C749-BDA0-420FB7CE3E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A5B72-63FD-9240-BFA2-75DB68005A4A}">
  <dimension ref="A1:Q75"/>
  <sheetViews>
    <sheetView topLeftCell="G1" zoomScaleNormal="100" workbookViewId="0">
      <pane ySplit="3" topLeftCell="A4" activePane="bottomLeft" state="frozen"/>
      <selection activeCell="P19" sqref="P19"/>
      <selection pane="bottomLeft" activeCell="Q4" sqref="Q4"/>
    </sheetView>
  </sheetViews>
  <sheetFormatPr baseColWidth="10" defaultColWidth="8.6640625" defaultRowHeight="15" x14ac:dyDescent="0.2"/>
  <cols>
    <col min="1" max="1" width="5" style="1" customWidth="1"/>
    <col min="2" max="2" width="9" style="1" customWidth="1"/>
    <col min="3" max="3" width="12" style="1" customWidth="1"/>
    <col min="4" max="4" width="10" style="1" customWidth="1"/>
    <col min="5" max="5" width="34" style="1" customWidth="1"/>
    <col min="6" max="6" width="58" style="1" customWidth="1"/>
    <col min="7" max="7" width="30" style="1" customWidth="1"/>
    <col min="8" max="8" width="10" style="1" customWidth="1"/>
    <col min="9" max="9" width="14" style="1" customWidth="1"/>
    <col min="10" max="10" width="13.33203125" style="1" customWidth="1"/>
    <col min="11" max="12" width="12.33203125" style="1" customWidth="1"/>
    <col min="13" max="13" width="7.83203125" style="1" bestFit="1" customWidth="1"/>
    <col min="14" max="14" width="14" style="1" customWidth="1"/>
    <col min="15" max="15" width="13.5" style="1" customWidth="1"/>
    <col min="16" max="16" width="14" style="1" customWidth="1"/>
    <col min="17" max="17" width="9.83203125" style="1" customWidth="1"/>
    <col min="18" max="16384" width="8.6640625" style="1"/>
  </cols>
  <sheetData>
    <row r="1" spans="1:17" ht="19" x14ac:dyDescent="0.25">
      <c r="A1" s="6" t="s">
        <v>236</v>
      </c>
      <c r="B1" s="7"/>
      <c r="C1" s="7"/>
      <c r="D1" s="7"/>
      <c r="E1" s="7"/>
      <c r="F1" s="7"/>
      <c r="G1" s="7"/>
      <c r="H1" s="7"/>
      <c r="I1" s="7"/>
      <c r="J1" s="7"/>
      <c r="K1" s="7"/>
      <c r="L1" s="7"/>
    </row>
    <row r="2" spans="1:17" ht="16" x14ac:dyDescent="0.2">
      <c r="A2" s="8"/>
      <c r="B2" s="7"/>
      <c r="C2" s="7"/>
      <c r="D2" s="7"/>
      <c r="E2" s="7"/>
      <c r="F2" s="7"/>
      <c r="G2" s="7"/>
      <c r="H2" s="7"/>
      <c r="I2" s="7"/>
      <c r="J2" s="7"/>
      <c r="K2" s="7"/>
      <c r="L2" s="7"/>
    </row>
    <row r="3" spans="1:17" ht="42" x14ac:dyDescent="0.2">
      <c r="A3" s="9" t="s">
        <v>235</v>
      </c>
      <c r="B3" s="9" t="s">
        <v>234</v>
      </c>
      <c r="C3" s="9" t="s">
        <v>233</v>
      </c>
      <c r="D3" s="9" t="s">
        <v>232</v>
      </c>
      <c r="E3" s="9" t="s">
        <v>231</v>
      </c>
      <c r="F3" s="9" t="s">
        <v>230</v>
      </c>
      <c r="G3" s="9" t="s">
        <v>229</v>
      </c>
      <c r="H3" s="9" t="s">
        <v>228</v>
      </c>
      <c r="I3" s="9" t="s">
        <v>227</v>
      </c>
      <c r="J3" s="9" t="s">
        <v>226</v>
      </c>
      <c r="K3" s="9" t="s">
        <v>225</v>
      </c>
      <c r="L3" s="9" t="s">
        <v>224</v>
      </c>
      <c r="M3" s="3" t="s">
        <v>223</v>
      </c>
      <c r="N3" s="3" t="s">
        <v>317</v>
      </c>
      <c r="O3" s="3" t="s">
        <v>318</v>
      </c>
      <c r="P3" s="3" t="s">
        <v>319</v>
      </c>
      <c r="Q3" s="3" t="s">
        <v>222</v>
      </c>
    </row>
    <row r="4" spans="1:17" ht="68" x14ac:dyDescent="0.2">
      <c r="A4" s="10">
        <v>1</v>
      </c>
      <c r="B4" s="10" t="s">
        <v>162</v>
      </c>
      <c r="C4" s="10" t="s">
        <v>161</v>
      </c>
      <c r="D4" s="10" t="s">
        <v>221</v>
      </c>
      <c r="E4" s="11" t="s">
        <v>220</v>
      </c>
      <c r="F4" s="11" t="s">
        <v>219</v>
      </c>
      <c r="G4" s="11" t="s">
        <v>218</v>
      </c>
      <c r="H4" s="10">
        <v>1</v>
      </c>
      <c r="I4" s="10">
        <v>3</v>
      </c>
      <c r="J4" s="10">
        <v>4</v>
      </c>
      <c r="K4" s="10">
        <v>2</v>
      </c>
      <c r="L4" s="12">
        <f t="shared" ref="L4:L35" si="0">AVERAGE(I4:K4)</f>
        <v>3</v>
      </c>
      <c r="M4" s="2">
        <f t="shared" ref="M4:M35" si="1">IF(COUNT(I4:K4)=3,1,0)</f>
        <v>1</v>
      </c>
      <c r="N4" s="2">
        <f t="shared" ref="N4:N35" si="2">IF($M4=0,"",COUNTIFS($B$4:$B$75,$B4,$M$4:$M$75,1,I$4:I$75,"&lt;"&amp;I4)+(COUNTIFS($B$4:$B$75,$B4,$M$4:$M$75,1,I$4:I$75,I4)+1)/2)</f>
        <v>12</v>
      </c>
      <c r="O4" s="2">
        <f t="shared" ref="O4:O35" si="3">IF($M4=0,"",COUNTIFS($B$4:$B$75,$B4,$M$4:$M$75,1,J$4:J$75,"&lt;"&amp;J4)+(COUNTIFS($B$4:$B$75,$B4,$M$4:$M$75,1,J$4:J$75,J4)+1)/2)</f>
        <v>19.5</v>
      </c>
      <c r="P4" s="2">
        <f t="shared" ref="P4:P35" si="4">IF($M4=0,"",COUNTIFS($B$4:$B$75,$B4,$M$4:$M$75,1,K$4:K$75,"&lt;"&amp;K4)+(COUNTIFS($B$4:$B$75,$B4,$M$4:$M$75,1,K$4:K$75,K4)+1)/2)</f>
        <v>13</v>
      </c>
      <c r="Q4" s="2">
        <f t="shared" ref="Q4:Q35" si="5">IF($M4=0,0,N4+O4+P4)</f>
        <v>44.5</v>
      </c>
    </row>
    <row r="5" spans="1:17" ht="51" x14ac:dyDescent="0.2">
      <c r="A5" s="10">
        <v>2</v>
      </c>
      <c r="B5" s="10" t="s">
        <v>162</v>
      </c>
      <c r="C5" s="10" t="s">
        <v>161</v>
      </c>
      <c r="D5" s="10" t="s">
        <v>217</v>
      </c>
      <c r="E5" s="11" t="s">
        <v>216</v>
      </c>
      <c r="F5" s="11" t="s">
        <v>215</v>
      </c>
      <c r="G5" s="11" t="s">
        <v>214</v>
      </c>
      <c r="H5" s="10">
        <v>2</v>
      </c>
      <c r="I5" s="10">
        <v>2</v>
      </c>
      <c r="J5" s="10">
        <v>3</v>
      </c>
      <c r="K5" s="10">
        <v>1</v>
      </c>
      <c r="L5" s="12">
        <f t="shared" si="0"/>
        <v>2</v>
      </c>
      <c r="M5" s="2">
        <f t="shared" si="1"/>
        <v>1</v>
      </c>
      <c r="N5" s="2">
        <f t="shared" si="2"/>
        <v>5.5</v>
      </c>
      <c r="O5" s="2">
        <f t="shared" si="3"/>
        <v>13</v>
      </c>
      <c r="P5" s="2">
        <f t="shared" si="4"/>
        <v>6</v>
      </c>
      <c r="Q5" s="2">
        <f t="shared" si="5"/>
        <v>24.5</v>
      </c>
    </row>
    <row r="6" spans="1:17" ht="34" x14ac:dyDescent="0.2">
      <c r="A6" s="10">
        <v>3</v>
      </c>
      <c r="B6" s="10" t="s">
        <v>162</v>
      </c>
      <c r="C6" s="10" t="s">
        <v>161</v>
      </c>
      <c r="D6" s="10" t="s">
        <v>33</v>
      </c>
      <c r="E6" s="11" t="s">
        <v>213</v>
      </c>
      <c r="F6" s="11" t="s">
        <v>212</v>
      </c>
      <c r="G6" s="11" t="s">
        <v>64</v>
      </c>
      <c r="H6" s="10">
        <v>8</v>
      </c>
      <c r="I6" s="10">
        <v>1</v>
      </c>
      <c r="J6" s="10">
        <v>3</v>
      </c>
      <c r="K6" s="10">
        <v>0</v>
      </c>
      <c r="L6" s="12">
        <f t="shared" si="0"/>
        <v>1.3333333333333333</v>
      </c>
      <c r="M6" s="2">
        <f t="shared" si="1"/>
        <v>1</v>
      </c>
      <c r="N6" s="2">
        <f t="shared" si="2"/>
        <v>1.5</v>
      </c>
      <c r="O6" s="2">
        <f t="shared" si="3"/>
        <v>13</v>
      </c>
      <c r="P6" s="2">
        <f t="shared" si="4"/>
        <v>1.5</v>
      </c>
      <c r="Q6" s="2">
        <f t="shared" si="5"/>
        <v>16</v>
      </c>
    </row>
    <row r="7" spans="1:17" ht="17" x14ac:dyDescent="0.2">
      <c r="A7" s="10">
        <v>4</v>
      </c>
      <c r="B7" s="10" t="s">
        <v>162</v>
      </c>
      <c r="C7" s="10" t="s">
        <v>161</v>
      </c>
      <c r="D7" s="10" t="s">
        <v>29</v>
      </c>
      <c r="E7" s="11" t="s">
        <v>211</v>
      </c>
      <c r="F7" s="11" t="s">
        <v>210</v>
      </c>
      <c r="G7" s="11" t="s">
        <v>209</v>
      </c>
      <c r="H7" s="10">
        <v>2</v>
      </c>
      <c r="I7" s="10">
        <v>1</v>
      </c>
      <c r="J7" s="10">
        <v>3</v>
      </c>
      <c r="K7" s="10">
        <v>1</v>
      </c>
      <c r="L7" s="12">
        <f t="shared" si="0"/>
        <v>1.6666666666666667</v>
      </c>
      <c r="M7" s="2">
        <f t="shared" si="1"/>
        <v>1</v>
      </c>
      <c r="N7" s="2">
        <f t="shared" si="2"/>
        <v>1.5</v>
      </c>
      <c r="O7" s="2">
        <f t="shared" si="3"/>
        <v>13</v>
      </c>
      <c r="P7" s="2">
        <f t="shared" si="4"/>
        <v>6</v>
      </c>
      <c r="Q7" s="2">
        <f t="shared" si="5"/>
        <v>20.5</v>
      </c>
    </row>
    <row r="8" spans="1:17" ht="34" x14ac:dyDescent="0.2">
      <c r="A8" s="10">
        <v>5</v>
      </c>
      <c r="B8" s="10" t="s">
        <v>162</v>
      </c>
      <c r="C8" s="10" t="s">
        <v>161</v>
      </c>
      <c r="D8" s="10" t="s">
        <v>29</v>
      </c>
      <c r="E8" s="11" t="s">
        <v>208</v>
      </c>
      <c r="F8" s="11" t="s">
        <v>207</v>
      </c>
      <c r="G8" s="11" t="s">
        <v>206</v>
      </c>
      <c r="H8" s="10">
        <v>4</v>
      </c>
      <c r="I8" s="10">
        <v>3</v>
      </c>
      <c r="J8" s="10">
        <v>2</v>
      </c>
      <c r="K8" s="10">
        <v>0</v>
      </c>
      <c r="L8" s="12">
        <f t="shared" si="0"/>
        <v>1.6666666666666667</v>
      </c>
      <c r="M8" s="2">
        <f t="shared" si="1"/>
        <v>1</v>
      </c>
      <c r="N8" s="2">
        <f t="shared" si="2"/>
        <v>12</v>
      </c>
      <c r="O8" s="2">
        <f t="shared" si="3"/>
        <v>5.5</v>
      </c>
      <c r="P8" s="2">
        <f t="shared" si="4"/>
        <v>1.5</v>
      </c>
      <c r="Q8" s="2">
        <f t="shared" si="5"/>
        <v>19</v>
      </c>
    </row>
    <row r="9" spans="1:17" ht="34" x14ac:dyDescent="0.2">
      <c r="A9" s="10">
        <v>6</v>
      </c>
      <c r="B9" s="10" t="s">
        <v>162</v>
      </c>
      <c r="C9" s="10" t="s">
        <v>161</v>
      </c>
      <c r="D9" s="10" t="s">
        <v>86</v>
      </c>
      <c r="E9" s="11" t="s">
        <v>205</v>
      </c>
      <c r="F9" s="11" t="s">
        <v>204</v>
      </c>
      <c r="G9" s="11" t="s">
        <v>203</v>
      </c>
      <c r="H9" s="10">
        <v>2</v>
      </c>
      <c r="I9" s="10">
        <v>2</v>
      </c>
      <c r="J9" s="10">
        <v>2</v>
      </c>
      <c r="K9" s="10">
        <v>1</v>
      </c>
      <c r="L9" s="12">
        <f t="shared" si="0"/>
        <v>1.6666666666666667</v>
      </c>
      <c r="M9" s="2">
        <f t="shared" si="1"/>
        <v>1</v>
      </c>
      <c r="N9" s="2">
        <f t="shared" si="2"/>
        <v>5.5</v>
      </c>
      <c r="O9" s="2">
        <f t="shared" si="3"/>
        <v>5.5</v>
      </c>
      <c r="P9" s="2">
        <f t="shared" si="4"/>
        <v>6</v>
      </c>
      <c r="Q9" s="2">
        <f t="shared" si="5"/>
        <v>17</v>
      </c>
    </row>
    <row r="10" spans="1:17" ht="17" x14ac:dyDescent="0.2">
      <c r="A10" s="10">
        <v>7</v>
      </c>
      <c r="B10" s="10" t="s">
        <v>162</v>
      </c>
      <c r="C10" s="10" t="s">
        <v>161</v>
      </c>
      <c r="D10" s="10" t="s">
        <v>202</v>
      </c>
      <c r="E10" s="11" t="s">
        <v>201</v>
      </c>
      <c r="F10" s="11" t="s">
        <v>200</v>
      </c>
      <c r="G10" s="11" t="s">
        <v>199</v>
      </c>
      <c r="H10" s="10">
        <v>4</v>
      </c>
      <c r="I10" s="10">
        <v>4</v>
      </c>
      <c r="J10" s="10">
        <v>2</v>
      </c>
      <c r="K10" s="10">
        <v>3</v>
      </c>
      <c r="L10" s="12">
        <f t="shared" si="0"/>
        <v>3</v>
      </c>
      <c r="M10" s="2">
        <f t="shared" si="1"/>
        <v>1</v>
      </c>
      <c r="N10" s="2">
        <f t="shared" si="2"/>
        <v>18.5</v>
      </c>
      <c r="O10" s="2">
        <f t="shared" si="3"/>
        <v>5.5</v>
      </c>
      <c r="P10" s="2">
        <f t="shared" si="4"/>
        <v>18</v>
      </c>
      <c r="Q10" s="2">
        <f t="shared" si="5"/>
        <v>42</v>
      </c>
    </row>
    <row r="11" spans="1:17" ht="34" x14ac:dyDescent="0.2">
      <c r="A11" s="10">
        <v>8</v>
      </c>
      <c r="B11" s="10" t="s">
        <v>162</v>
      </c>
      <c r="C11" s="10" t="s">
        <v>161</v>
      </c>
      <c r="D11" s="10" t="s">
        <v>86</v>
      </c>
      <c r="E11" s="11" t="s">
        <v>198</v>
      </c>
      <c r="F11" s="11" t="s">
        <v>197</v>
      </c>
      <c r="G11" s="11" t="s">
        <v>196</v>
      </c>
      <c r="H11" s="10">
        <v>5</v>
      </c>
      <c r="I11" s="10">
        <v>3</v>
      </c>
      <c r="J11" s="10">
        <v>2</v>
      </c>
      <c r="K11" s="10">
        <v>2</v>
      </c>
      <c r="L11" s="12">
        <f t="shared" si="0"/>
        <v>2.3333333333333335</v>
      </c>
      <c r="M11" s="2">
        <f t="shared" si="1"/>
        <v>1</v>
      </c>
      <c r="N11" s="2">
        <f t="shared" si="2"/>
        <v>12</v>
      </c>
      <c r="O11" s="2">
        <f t="shared" si="3"/>
        <v>5.5</v>
      </c>
      <c r="P11" s="2">
        <f t="shared" si="4"/>
        <v>13</v>
      </c>
      <c r="Q11" s="2">
        <f t="shared" si="5"/>
        <v>30.5</v>
      </c>
    </row>
    <row r="12" spans="1:17" ht="34" x14ac:dyDescent="0.2">
      <c r="A12" s="10">
        <v>9</v>
      </c>
      <c r="B12" s="10" t="s">
        <v>162</v>
      </c>
      <c r="C12" s="10" t="s">
        <v>161</v>
      </c>
      <c r="D12" s="10" t="s">
        <v>86</v>
      </c>
      <c r="E12" s="11" t="s">
        <v>195</v>
      </c>
      <c r="F12" s="11" t="s">
        <v>194</v>
      </c>
      <c r="G12" s="11" t="s">
        <v>193</v>
      </c>
      <c r="H12" s="10">
        <v>8</v>
      </c>
      <c r="I12" s="10">
        <v>2</v>
      </c>
      <c r="J12" s="10">
        <v>3</v>
      </c>
      <c r="K12" s="10">
        <v>1</v>
      </c>
      <c r="L12" s="12">
        <f t="shared" si="0"/>
        <v>2</v>
      </c>
      <c r="M12" s="2">
        <f t="shared" si="1"/>
        <v>1</v>
      </c>
      <c r="N12" s="2">
        <f t="shared" si="2"/>
        <v>5.5</v>
      </c>
      <c r="O12" s="2">
        <f t="shared" si="3"/>
        <v>13</v>
      </c>
      <c r="P12" s="2">
        <f t="shared" si="4"/>
        <v>6</v>
      </c>
      <c r="Q12" s="2">
        <f t="shared" si="5"/>
        <v>24.5</v>
      </c>
    </row>
    <row r="13" spans="1:17" ht="34" x14ac:dyDescent="0.2">
      <c r="A13" s="10">
        <v>10</v>
      </c>
      <c r="B13" s="10" t="s">
        <v>162</v>
      </c>
      <c r="C13" s="10" t="s">
        <v>161</v>
      </c>
      <c r="D13" s="10" t="s">
        <v>86</v>
      </c>
      <c r="E13" s="11" t="s">
        <v>192</v>
      </c>
      <c r="F13" s="11" t="s">
        <v>191</v>
      </c>
      <c r="G13" s="11" t="s">
        <v>190</v>
      </c>
      <c r="H13" s="10">
        <v>8</v>
      </c>
      <c r="I13" s="10">
        <v>2</v>
      </c>
      <c r="J13" s="10">
        <v>2</v>
      </c>
      <c r="K13" s="10">
        <v>1</v>
      </c>
      <c r="L13" s="12">
        <f t="shared" si="0"/>
        <v>1.6666666666666667</v>
      </c>
      <c r="M13" s="2">
        <f t="shared" si="1"/>
        <v>1</v>
      </c>
      <c r="N13" s="2">
        <f t="shared" si="2"/>
        <v>5.5</v>
      </c>
      <c r="O13" s="2">
        <f t="shared" si="3"/>
        <v>5.5</v>
      </c>
      <c r="P13" s="2">
        <f t="shared" si="4"/>
        <v>6</v>
      </c>
      <c r="Q13" s="2">
        <f t="shared" si="5"/>
        <v>17</v>
      </c>
    </row>
    <row r="14" spans="1:17" ht="34" x14ac:dyDescent="0.2">
      <c r="A14" s="10">
        <v>11</v>
      </c>
      <c r="B14" s="10" t="s">
        <v>162</v>
      </c>
      <c r="C14" s="10" t="s">
        <v>161</v>
      </c>
      <c r="D14" s="10" t="s">
        <v>63</v>
      </c>
      <c r="E14" s="11" t="s">
        <v>189</v>
      </c>
      <c r="F14" s="11" t="s">
        <v>188</v>
      </c>
      <c r="G14" s="11" t="s">
        <v>187</v>
      </c>
      <c r="H14" s="10">
        <v>1</v>
      </c>
      <c r="I14" s="10">
        <v>4</v>
      </c>
      <c r="J14" s="10">
        <v>4</v>
      </c>
      <c r="K14" s="10">
        <v>2</v>
      </c>
      <c r="L14" s="12">
        <f t="shared" si="0"/>
        <v>3.3333333333333335</v>
      </c>
      <c r="M14" s="2">
        <f t="shared" si="1"/>
        <v>1</v>
      </c>
      <c r="N14" s="2">
        <f t="shared" si="2"/>
        <v>18.5</v>
      </c>
      <c r="O14" s="2">
        <f t="shared" si="3"/>
        <v>19.5</v>
      </c>
      <c r="P14" s="2">
        <f t="shared" si="4"/>
        <v>13</v>
      </c>
      <c r="Q14" s="2">
        <f t="shared" si="5"/>
        <v>51</v>
      </c>
    </row>
    <row r="15" spans="1:17" ht="51" x14ac:dyDescent="0.2">
      <c r="A15" s="10">
        <v>12</v>
      </c>
      <c r="B15" s="10" t="s">
        <v>162</v>
      </c>
      <c r="C15" s="10" t="s">
        <v>161</v>
      </c>
      <c r="D15" s="10" t="s">
        <v>186</v>
      </c>
      <c r="E15" s="11" t="s">
        <v>185</v>
      </c>
      <c r="F15" s="11" t="s">
        <v>184</v>
      </c>
      <c r="G15" s="11" t="s">
        <v>183</v>
      </c>
      <c r="H15" s="10">
        <v>2</v>
      </c>
      <c r="I15" s="10">
        <v>2</v>
      </c>
      <c r="J15" s="10">
        <v>3</v>
      </c>
      <c r="K15" s="10">
        <v>2</v>
      </c>
      <c r="L15" s="12">
        <f t="shared" si="0"/>
        <v>2.3333333333333335</v>
      </c>
      <c r="M15" s="2">
        <f t="shared" si="1"/>
        <v>1</v>
      </c>
      <c r="N15" s="2">
        <f t="shared" si="2"/>
        <v>5.5</v>
      </c>
      <c r="O15" s="2">
        <f t="shared" si="3"/>
        <v>13</v>
      </c>
      <c r="P15" s="2">
        <f t="shared" si="4"/>
        <v>13</v>
      </c>
      <c r="Q15" s="2">
        <f t="shared" si="5"/>
        <v>31.5</v>
      </c>
    </row>
    <row r="16" spans="1:17" ht="34" x14ac:dyDescent="0.2">
      <c r="A16" s="10">
        <v>13</v>
      </c>
      <c r="B16" s="10" t="s">
        <v>162</v>
      </c>
      <c r="C16" s="10" t="s">
        <v>161</v>
      </c>
      <c r="D16" s="10" t="s">
        <v>63</v>
      </c>
      <c r="E16" s="11" t="s">
        <v>182</v>
      </c>
      <c r="F16" s="11" t="s">
        <v>181</v>
      </c>
      <c r="G16" s="11" t="s">
        <v>180</v>
      </c>
      <c r="H16" s="10">
        <v>3</v>
      </c>
      <c r="I16" s="10">
        <v>2</v>
      </c>
      <c r="J16" s="10">
        <v>3</v>
      </c>
      <c r="K16" s="10">
        <v>1</v>
      </c>
      <c r="L16" s="12">
        <f t="shared" si="0"/>
        <v>2</v>
      </c>
      <c r="M16" s="2">
        <f t="shared" si="1"/>
        <v>1</v>
      </c>
      <c r="N16" s="2">
        <f t="shared" si="2"/>
        <v>5.5</v>
      </c>
      <c r="O16" s="2">
        <f t="shared" si="3"/>
        <v>13</v>
      </c>
      <c r="P16" s="2">
        <f t="shared" si="4"/>
        <v>6</v>
      </c>
      <c r="Q16" s="2">
        <f t="shared" si="5"/>
        <v>24.5</v>
      </c>
    </row>
    <row r="17" spans="1:17" ht="51" x14ac:dyDescent="0.2">
      <c r="A17" s="10">
        <v>14</v>
      </c>
      <c r="B17" s="10" t="s">
        <v>162</v>
      </c>
      <c r="C17" s="10" t="s">
        <v>161</v>
      </c>
      <c r="D17" s="10" t="s">
        <v>63</v>
      </c>
      <c r="E17" s="11" t="s">
        <v>179</v>
      </c>
      <c r="F17" s="11" t="s">
        <v>178</v>
      </c>
      <c r="G17" s="11" t="s">
        <v>64</v>
      </c>
      <c r="H17" s="10">
        <v>8</v>
      </c>
      <c r="I17" s="10">
        <v>3</v>
      </c>
      <c r="J17" s="10">
        <v>3</v>
      </c>
      <c r="K17" s="10">
        <v>1</v>
      </c>
      <c r="L17" s="12">
        <f t="shared" si="0"/>
        <v>2.3333333333333335</v>
      </c>
      <c r="M17" s="2">
        <f t="shared" si="1"/>
        <v>1</v>
      </c>
      <c r="N17" s="2">
        <f t="shared" si="2"/>
        <v>12</v>
      </c>
      <c r="O17" s="2">
        <f t="shared" si="3"/>
        <v>13</v>
      </c>
      <c r="P17" s="2">
        <f t="shared" si="4"/>
        <v>6</v>
      </c>
      <c r="Q17" s="2">
        <f t="shared" si="5"/>
        <v>31</v>
      </c>
    </row>
    <row r="18" spans="1:17" ht="51" x14ac:dyDescent="0.2">
      <c r="A18" s="10">
        <v>15</v>
      </c>
      <c r="B18" s="10" t="s">
        <v>162</v>
      </c>
      <c r="C18" s="10" t="s">
        <v>161</v>
      </c>
      <c r="D18" s="10" t="s">
        <v>50</v>
      </c>
      <c r="E18" s="11" t="s">
        <v>177</v>
      </c>
      <c r="F18" s="11" t="s">
        <v>176</v>
      </c>
      <c r="G18" s="11" t="s">
        <v>175</v>
      </c>
      <c r="H18" s="10">
        <v>3</v>
      </c>
      <c r="I18" s="10">
        <v>3</v>
      </c>
      <c r="J18" s="10">
        <v>4</v>
      </c>
      <c r="K18" s="10">
        <v>4</v>
      </c>
      <c r="L18" s="12">
        <f t="shared" si="0"/>
        <v>3.6666666666666665</v>
      </c>
      <c r="M18" s="2">
        <f t="shared" si="1"/>
        <v>1</v>
      </c>
      <c r="N18" s="2">
        <f t="shared" si="2"/>
        <v>12</v>
      </c>
      <c r="O18" s="2">
        <f t="shared" si="3"/>
        <v>19.5</v>
      </c>
      <c r="P18" s="2">
        <f t="shared" si="4"/>
        <v>20.5</v>
      </c>
      <c r="Q18" s="2">
        <f t="shared" si="5"/>
        <v>52</v>
      </c>
    </row>
    <row r="19" spans="1:17" ht="51" x14ac:dyDescent="0.2">
      <c r="A19" s="10">
        <v>16</v>
      </c>
      <c r="B19" s="10" t="s">
        <v>162</v>
      </c>
      <c r="C19" s="10" t="s">
        <v>161</v>
      </c>
      <c r="D19" s="10" t="s">
        <v>174</v>
      </c>
      <c r="E19" s="11" t="s">
        <v>173</v>
      </c>
      <c r="F19" s="11" t="s">
        <v>172</v>
      </c>
      <c r="G19" s="11" t="s">
        <v>171</v>
      </c>
      <c r="H19" s="10">
        <v>4</v>
      </c>
      <c r="I19" s="10">
        <v>4</v>
      </c>
      <c r="J19" s="10">
        <v>2</v>
      </c>
      <c r="K19" s="10">
        <v>2</v>
      </c>
      <c r="L19" s="12">
        <f t="shared" si="0"/>
        <v>2.6666666666666665</v>
      </c>
      <c r="M19" s="2">
        <f t="shared" si="1"/>
        <v>1</v>
      </c>
      <c r="N19" s="2">
        <f t="shared" si="2"/>
        <v>18.5</v>
      </c>
      <c r="O19" s="2">
        <f t="shared" si="3"/>
        <v>5.5</v>
      </c>
      <c r="P19" s="2">
        <f t="shared" si="4"/>
        <v>13</v>
      </c>
      <c r="Q19" s="2">
        <f t="shared" si="5"/>
        <v>37</v>
      </c>
    </row>
    <row r="20" spans="1:17" ht="34" x14ac:dyDescent="0.2">
      <c r="A20" s="10">
        <v>17</v>
      </c>
      <c r="B20" s="10" t="s">
        <v>162</v>
      </c>
      <c r="C20" s="10" t="s">
        <v>161</v>
      </c>
      <c r="D20" s="10" t="s">
        <v>146</v>
      </c>
      <c r="E20" s="11" t="s">
        <v>170</v>
      </c>
      <c r="F20" s="11" t="s">
        <v>169</v>
      </c>
      <c r="G20" s="11" t="s">
        <v>168</v>
      </c>
      <c r="H20" s="10">
        <v>1</v>
      </c>
      <c r="I20" s="10">
        <v>4</v>
      </c>
      <c r="J20" s="10">
        <v>3</v>
      </c>
      <c r="K20" s="10">
        <v>2</v>
      </c>
      <c r="L20" s="12">
        <f t="shared" si="0"/>
        <v>3</v>
      </c>
      <c r="M20" s="2">
        <f t="shared" si="1"/>
        <v>1</v>
      </c>
      <c r="N20" s="2">
        <f t="shared" si="2"/>
        <v>18.5</v>
      </c>
      <c r="O20" s="2">
        <f t="shared" si="3"/>
        <v>13</v>
      </c>
      <c r="P20" s="2">
        <f t="shared" si="4"/>
        <v>13</v>
      </c>
      <c r="Q20" s="2">
        <f t="shared" si="5"/>
        <v>44.5</v>
      </c>
    </row>
    <row r="21" spans="1:17" ht="34" x14ac:dyDescent="0.2">
      <c r="A21" s="10">
        <v>18</v>
      </c>
      <c r="B21" s="10" t="s">
        <v>162</v>
      </c>
      <c r="C21" s="10" t="s">
        <v>161</v>
      </c>
      <c r="D21" s="10" t="s">
        <v>21</v>
      </c>
      <c r="E21" s="11" t="s">
        <v>167</v>
      </c>
      <c r="F21" s="11" t="s">
        <v>166</v>
      </c>
      <c r="G21" s="11" t="s">
        <v>64</v>
      </c>
      <c r="H21" s="10">
        <v>6</v>
      </c>
      <c r="I21" s="10">
        <v>4</v>
      </c>
      <c r="J21" s="10">
        <v>1</v>
      </c>
      <c r="K21" s="10">
        <v>4</v>
      </c>
      <c r="L21" s="12">
        <f t="shared" si="0"/>
        <v>3</v>
      </c>
      <c r="M21" s="2">
        <f t="shared" si="1"/>
        <v>1</v>
      </c>
      <c r="N21" s="2">
        <f t="shared" si="2"/>
        <v>18.5</v>
      </c>
      <c r="O21" s="2">
        <f t="shared" si="3"/>
        <v>1.5</v>
      </c>
      <c r="P21" s="2">
        <f t="shared" si="4"/>
        <v>20.5</v>
      </c>
      <c r="Q21" s="2">
        <f t="shared" si="5"/>
        <v>40.5</v>
      </c>
    </row>
    <row r="22" spans="1:17" ht="17" x14ac:dyDescent="0.2">
      <c r="A22" s="10">
        <v>19</v>
      </c>
      <c r="B22" s="10" t="s">
        <v>162</v>
      </c>
      <c r="C22" s="10" t="s">
        <v>161</v>
      </c>
      <c r="D22" s="10" t="s">
        <v>3</v>
      </c>
      <c r="E22" s="11" t="s">
        <v>11</v>
      </c>
      <c r="F22" s="11" t="s">
        <v>10</v>
      </c>
      <c r="G22" s="11" t="s">
        <v>9</v>
      </c>
      <c r="H22" s="10">
        <v>4</v>
      </c>
      <c r="I22" s="10">
        <v>4</v>
      </c>
      <c r="J22" s="10">
        <v>4</v>
      </c>
      <c r="K22" s="10">
        <v>3</v>
      </c>
      <c r="L22" s="12">
        <f t="shared" si="0"/>
        <v>3.6666666666666665</v>
      </c>
      <c r="M22" s="2">
        <f t="shared" si="1"/>
        <v>1</v>
      </c>
      <c r="N22" s="2">
        <f t="shared" si="2"/>
        <v>18.5</v>
      </c>
      <c r="O22" s="2">
        <f t="shared" si="3"/>
        <v>19.5</v>
      </c>
      <c r="P22" s="2">
        <f t="shared" si="4"/>
        <v>18</v>
      </c>
      <c r="Q22" s="2">
        <f t="shared" si="5"/>
        <v>56</v>
      </c>
    </row>
    <row r="23" spans="1:17" ht="34" x14ac:dyDescent="0.2">
      <c r="A23" s="10">
        <v>20</v>
      </c>
      <c r="B23" s="10" t="s">
        <v>162</v>
      </c>
      <c r="C23" s="10" t="s">
        <v>161</v>
      </c>
      <c r="D23" s="10" t="s">
        <v>3</v>
      </c>
      <c r="E23" s="11" t="s">
        <v>165</v>
      </c>
      <c r="F23" s="11" t="s">
        <v>164</v>
      </c>
      <c r="G23" s="11" t="s">
        <v>163</v>
      </c>
      <c r="H23" s="10">
        <v>4</v>
      </c>
      <c r="I23" s="10">
        <v>3</v>
      </c>
      <c r="J23" s="10">
        <v>1</v>
      </c>
      <c r="K23" s="10">
        <v>2</v>
      </c>
      <c r="L23" s="12">
        <f t="shared" si="0"/>
        <v>2</v>
      </c>
      <c r="M23" s="2">
        <f t="shared" si="1"/>
        <v>1</v>
      </c>
      <c r="N23" s="2">
        <f t="shared" si="2"/>
        <v>12</v>
      </c>
      <c r="O23" s="2">
        <f t="shared" si="3"/>
        <v>1.5</v>
      </c>
      <c r="P23" s="2">
        <f t="shared" si="4"/>
        <v>13</v>
      </c>
      <c r="Q23" s="2">
        <f t="shared" si="5"/>
        <v>26.5</v>
      </c>
    </row>
    <row r="24" spans="1:17" ht="34" x14ac:dyDescent="0.2">
      <c r="A24" s="10">
        <v>21</v>
      </c>
      <c r="B24" s="10" t="s">
        <v>162</v>
      </c>
      <c r="C24" s="10" t="s">
        <v>161</v>
      </c>
      <c r="D24" s="10" t="s">
        <v>3</v>
      </c>
      <c r="E24" s="11" t="s">
        <v>160</v>
      </c>
      <c r="F24" s="11" t="s">
        <v>159</v>
      </c>
      <c r="G24" s="11" t="s">
        <v>158</v>
      </c>
      <c r="H24" s="10">
        <v>4</v>
      </c>
      <c r="I24" s="10">
        <v>3</v>
      </c>
      <c r="J24" s="10">
        <v>3</v>
      </c>
      <c r="K24" s="10">
        <v>3</v>
      </c>
      <c r="L24" s="12">
        <f t="shared" si="0"/>
        <v>3</v>
      </c>
      <c r="M24" s="2">
        <f t="shared" si="1"/>
        <v>1</v>
      </c>
      <c r="N24" s="2">
        <f t="shared" si="2"/>
        <v>12</v>
      </c>
      <c r="O24" s="2">
        <f t="shared" si="3"/>
        <v>13</v>
      </c>
      <c r="P24" s="2">
        <f t="shared" si="4"/>
        <v>18</v>
      </c>
      <c r="Q24" s="2">
        <f t="shared" si="5"/>
        <v>43</v>
      </c>
    </row>
    <row r="25" spans="1:17" ht="34" x14ac:dyDescent="0.2">
      <c r="A25" s="10">
        <v>22</v>
      </c>
      <c r="B25" s="10" t="s">
        <v>143</v>
      </c>
      <c r="C25" s="10" t="s">
        <v>142</v>
      </c>
      <c r="D25" s="10" t="s">
        <v>29</v>
      </c>
      <c r="E25" s="11" t="s">
        <v>157</v>
      </c>
      <c r="F25" s="11" t="s">
        <v>156</v>
      </c>
      <c r="G25" s="11" t="s">
        <v>64</v>
      </c>
      <c r="H25" s="10">
        <v>2</v>
      </c>
      <c r="I25" s="10">
        <v>3</v>
      </c>
      <c r="J25" s="10">
        <v>3</v>
      </c>
      <c r="K25" s="10">
        <v>4</v>
      </c>
      <c r="L25" s="12">
        <f t="shared" si="0"/>
        <v>3.3333333333333335</v>
      </c>
      <c r="M25" s="2">
        <f t="shared" si="1"/>
        <v>1</v>
      </c>
      <c r="N25" s="2">
        <f t="shared" si="2"/>
        <v>5</v>
      </c>
      <c r="O25" s="2">
        <f t="shared" si="3"/>
        <v>4.5</v>
      </c>
      <c r="P25" s="2">
        <f t="shared" si="4"/>
        <v>4.5</v>
      </c>
      <c r="Q25" s="2">
        <f t="shared" si="5"/>
        <v>14</v>
      </c>
    </row>
    <row r="26" spans="1:17" ht="51" x14ac:dyDescent="0.2">
      <c r="A26" s="10">
        <v>23</v>
      </c>
      <c r="B26" s="10" t="s">
        <v>143</v>
      </c>
      <c r="C26" s="10" t="s">
        <v>142</v>
      </c>
      <c r="D26" s="10" t="s">
        <v>86</v>
      </c>
      <c r="E26" s="11" t="s">
        <v>155</v>
      </c>
      <c r="F26" s="11" t="s">
        <v>154</v>
      </c>
      <c r="G26" s="11" t="s">
        <v>64</v>
      </c>
      <c r="H26" s="10">
        <v>6</v>
      </c>
      <c r="I26" s="10">
        <v>2</v>
      </c>
      <c r="J26" s="10">
        <v>2</v>
      </c>
      <c r="K26" s="10">
        <v>4</v>
      </c>
      <c r="L26" s="12">
        <f t="shared" si="0"/>
        <v>2.6666666666666665</v>
      </c>
      <c r="M26" s="2">
        <f t="shared" si="1"/>
        <v>1</v>
      </c>
      <c r="N26" s="2">
        <f t="shared" si="2"/>
        <v>3</v>
      </c>
      <c r="O26" s="2">
        <f t="shared" si="3"/>
        <v>3</v>
      </c>
      <c r="P26" s="2">
        <f t="shared" si="4"/>
        <v>4.5</v>
      </c>
      <c r="Q26" s="2">
        <f t="shared" si="5"/>
        <v>10.5</v>
      </c>
    </row>
    <row r="27" spans="1:17" ht="34" x14ac:dyDescent="0.2">
      <c r="A27" s="10">
        <v>24</v>
      </c>
      <c r="B27" s="10" t="s">
        <v>143</v>
      </c>
      <c r="C27" s="10" t="s">
        <v>142</v>
      </c>
      <c r="D27" s="10" t="s">
        <v>153</v>
      </c>
      <c r="E27" s="11" t="s">
        <v>152</v>
      </c>
      <c r="F27" s="11" t="s">
        <v>151</v>
      </c>
      <c r="G27" s="11" t="s">
        <v>150</v>
      </c>
      <c r="H27" s="10">
        <v>10</v>
      </c>
      <c r="I27" s="10">
        <v>2</v>
      </c>
      <c r="J27" s="10">
        <v>4</v>
      </c>
      <c r="K27" s="10">
        <v>3</v>
      </c>
      <c r="L27" s="12">
        <f t="shared" si="0"/>
        <v>3</v>
      </c>
      <c r="M27" s="2">
        <f t="shared" si="1"/>
        <v>1</v>
      </c>
      <c r="N27" s="2">
        <f t="shared" si="2"/>
        <v>3</v>
      </c>
      <c r="O27" s="2">
        <f t="shared" si="3"/>
        <v>6</v>
      </c>
      <c r="P27" s="2">
        <f t="shared" si="4"/>
        <v>2</v>
      </c>
      <c r="Q27" s="2">
        <f t="shared" si="5"/>
        <v>11</v>
      </c>
    </row>
    <row r="28" spans="1:17" ht="34" x14ac:dyDescent="0.2">
      <c r="A28" s="10">
        <v>25</v>
      </c>
      <c r="B28" s="10" t="s">
        <v>143</v>
      </c>
      <c r="C28" s="10" t="s">
        <v>142</v>
      </c>
      <c r="D28" s="10" t="s">
        <v>50</v>
      </c>
      <c r="E28" s="11" t="s">
        <v>149</v>
      </c>
      <c r="F28" s="11" t="s">
        <v>148</v>
      </c>
      <c r="G28" s="11" t="s">
        <v>147</v>
      </c>
      <c r="H28" s="10">
        <v>4</v>
      </c>
      <c r="I28" s="10">
        <v>1</v>
      </c>
      <c r="J28" s="10">
        <v>1</v>
      </c>
      <c r="K28" s="10">
        <v>2</v>
      </c>
      <c r="L28" s="12">
        <f t="shared" si="0"/>
        <v>1.3333333333333333</v>
      </c>
      <c r="M28" s="2">
        <f t="shared" si="1"/>
        <v>1</v>
      </c>
      <c r="N28" s="2">
        <f t="shared" si="2"/>
        <v>1</v>
      </c>
      <c r="O28" s="2">
        <f t="shared" si="3"/>
        <v>1.5</v>
      </c>
      <c r="P28" s="2">
        <f t="shared" si="4"/>
        <v>1</v>
      </c>
      <c r="Q28" s="2">
        <f t="shared" si="5"/>
        <v>3.5</v>
      </c>
    </row>
    <row r="29" spans="1:17" ht="34" x14ac:dyDescent="0.2">
      <c r="A29" s="10">
        <v>26</v>
      </c>
      <c r="B29" s="10" t="s">
        <v>143</v>
      </c>
      <c r="C29" s="10" t="s">
        <v>142</v>
      </c>
      <c r="D29" s="10" t="s">
        <v>146</v>
      </c>
      <c r="E29" s="11" t="s">
        <v>145</v>
      </c>
      <c r="F29" s="11" t="s">
        <v>144</v>
      </c>
      <c r="G29" s="11" t="s">
        <v>64</v>
      </c>
      <c r="H29" s="10">
        <v>6</v>
      </c>
      <c r="I29" s="10">
        <v>2</v>
      </c>
      <c r="J29" s="10">
        <v>3</v>
      </c>
      <c r="K29" s="10">
        <v>4</v>
      </c>
      <c r="L29" s="12">
        <f t="shared" si="0"/>
        <v>3</v>
      </c>
      <c r="M29" s="2">
        <f t="shared" si="1"/>
        <v>1</v>
      </c>
      <c r="N29" s="2">
        <f t="shared" si="2"/>
        <v>3</v>
      </c>
      <c r="O29" s="2">
        <f t="shared" si="3"/>
        <v>4.5</v>
      </c>
      <c r="P29" s="2">
        <f t="shared" si="4"/>
        <v>4.5</v>
      </c>
      <c r="Q29" s="2">
        <f t="shared" si="5"/>
        <v>12</v>
      </c>
    </row>
    <row r="30" spans="1:17" ht="34" x14ac:dyDescent="0.2">
      <c r="A30" s="10">
        <v>27</v>
      </c>
      <c r="B30" s="10" t="s">
        <v>143</v>
      </c>
      <c r="C30" s="10" t="s">
        <v>142</v>
      </c>
      <c r="D30" s="10" t="s">
        <v>3</v>
      </c>
      <c r="E30" s="11" t="s">
        <v>14</v>
      </c>
      <c r="F30" s="11" t="s">
        <v>13</v>
      </c>
      <c r="G30" s="11" t="s">
        <v>12</v>
      </c>
      <c r="H30" s="10">
        <v>1</v>
      </c>
      <c r="I30" s="10">
        <v>4</v>
      </c>
      <c r="J30" s="10">
        <v>1</v>
      </c>
      <c r="K30" s="10">
        <v>4</v>
      </c>
      <c r="L30" s="12">
        <f t="shared" si="0"/>
        <v>3</v>
      </c>
      <c r="M30" s="2">
        <f t="shared" si="1"/>
        <v>1</v>
      </c>
      <c r="N30" s="2">
        <f t="shared" si="2"/>
        <v>6</v>
      </c>
      <c r="O30" s="2">
        <f t="shared" si="3"/>
        <v>1.5</v>
      </c>
      <c r="P30" s="2">
        <f t="shared" si="4"/>
        <v>4.5</v>
      </c>
      <c r="Q30" s="2">
        <f t="shared" si="5"/>
        <v>12</v>
      </c>
    </row>
    <row r="31" spans="1:17" ht="34" x14ac:dyDescent="0.2">
      <c r="A31" s="10">
        <v>28</v>
      </c>
      <c r="B31" s="10" t="s">
        <v>38</v>
      </c>
      <c r="C31" s="10" t="s">
        <v>37</v>
      </c>
      <c r="D31" s="10" t="s">
        <v>33</v>
      </c>
      <c r="E31" s="11" t="s">
        <v>141</v>
      </c>
      <c r="F31" s="11" t="s">
        <v>140</v>
      </c>
      <c r="G31" s="11" t="s">
        <v>139</v>
      </c>
      <c r="H31" s="10">
        <v>2</v>
      </c>
      <c r="I31" s="10">
        <v>3</v>
      </c>
      <c r="J31" s="10">
        <v>3</v>
      </c>
      <c r="K31" s="10">
        <v>3</v>
      </c>
      <c r="L31" s="12">
        <f t="shared" si="0"/>
        <v>3</v>
      </c>
      <c r="M31" s="2">
        <f t="shared" si="1"/>
        <v>1</v>
      </c>
      <c r="N31" s="2">
        <f t="shared" si="2"/>
        <v>10</v>
      </c>
      <c r="O31" s="2">
        <f t="shared" si="3"/>
        <v>12.5</v>
      </c>
      <c r="P31" s="2">
        <f t="shared" si="4"/>
        <v>21</v>
      </c>
      <c r="Q31" s="2">
        <f t="shared" si="5"/>
        <v>43.5</v>
      </c>
    </row>
    <row r="32" spans="1:17" ht="51" x14ac:dyDescent="0.2">
      <c r="A32" s="10">
        <v>29</v>
      </c>
      <c r="B32" s="10" t="s">
        <v>38</v>
      </c>
      <c r="C32" s="10" t="s">
        <v>37</v>
      </c>
      <c r="D32" s="10" t="s">
        <v>121</v>
      </c>
      <c r="E32" s="11" t="s">
        <v>138</v>
      </c>
      <c r="F32" s="11" t="s">
        <v>137</v>
      </c>
      <c r="G32" s="11" t="s">
        <v>136</v>
      </c>
      <c r="H32" s="10">
        <v>4</v>
      </c>
      <c r="I32" s="10">
        <v>4</v>
      </c>
      <c r="J32" s="10">
        <v>3</v>
      </c>
      <c r="K32" s="10">
        <v>3</v>
      </c>
      <c r="L32" s="12">
        <f t="shared" si="0"/>
        <v>3.3333333333333335</v>
      </c>
      <c r="M32" s="2">
        <f t="shared" si="1"/>
        <v>1</v>
      </c>
      <c r="N32" s="2">
        <f t="shared" si="2"/>
        <v>27</v>
      </c>
      <c r="O32" s="2">
        <f t="shared" si="3"/>
        <v>12.5</v>
      </c>
      <c r="P32" s="2">
        <f t="shared" si="4"/>
        <v>21</v>
      </c>
      <c r="Q32" s="2">
        <f t="shared" si="5"/>
        <v>60.5</v>
      </c>
    </row>
    <row r="33" spans="1:17" ht="34" x14ac:dyDescent="0.2">
      <c r="A33" s="10">
        <v>30</v>
      </c>
      <c r="B33" s="10" t="s">
        <v>38</v>
      </c>
      <c r="C33" s="10" t="s">
        <v>37</v>
      </c>
      <c r="D33" s="10" t="s">
        <v>29</v>
      </c>
      <c r="E33" s="11" t="s">
        <v>135</v>
      </c>
      <c r="F33" s="11" t="s">
        <v>134</v>
      </c>
      <c r="G33" s="11" t="s">
        <v>133</v>
      </c>
      <c r="H33" s="10">
        <v>4</v>
      </c>
      <c r="I33" s="10">
        <v>4</v>
      </c>
      <c r="J33" s="10">
        <v>3</v>
      </c>
      <c r="K33" s="10">
        <v>2</v>
      </c>
      <c r="L33" s="12">
        <f t="shared" si="0"/>
        <v>3</v>
      </c>
      <c r="M33" s="2">
        <f t="shared" si="1"/>
        <v>1</v>
      </c>
      <c r="N33" s="2">
        <f t="shared" si="2"/>
        <v>27</v>
      </c>
      <c r="O33" s="2">
        <f t="shared" si="3"/>
        <v>12.5</v>
      </c>
      <c r="P33" s="2">
        <f t="shared" si="4"/>
        <v>11.5</v>
      </c>
      <c r="Q33" s="2">
        <f t="shared" si="5"/>
        <v>51</v>
      </c>
    </row>
    <row r="34" spans="1:17" ht="51" x14ac:dyDescent="0.2">
      <c r="A34" s="10">
        <v>31</v>
      </c>
      <c r="B34" s="10" t="s">
        <v>38</v>
      </c>
      <c r="C34" s="10" t="s">
        <v>37</v>
      </c>
      <c r="D34" s="10" t="s">
        <v>33</v>
      </c>
      <c r="E34" s="11" t="s">
        <v>132</v>
      </c>
      <c r="F34" s="11" t="s">
        <v>131</v>
      </c>
      <c r="G34" s="11" t="s">
        <v>130</v>
      </c>
      <c r="H34" s="10">
        <v>4</v>
      </c>
      <c r="I34" s="10">
        <v>4</v>
      </c>
      <c r="J34" s="10">
        <v>3</v>
      </c>
      <c r="K34" s="10">
        <v>2</v>
      </c>
      <c r="L34" s="12">
        <f t="shared" si="0"/>
        <v>3</v>
      </c>
      <c r="M34" s="2">
        <f t="shared" si="1"/>
        <v>1</v>
      </c>
      <c r="N34" s="2">
        <f t="shared" si="2"/>
        <v>27</v>
      </c>
      <c r="O34" s="2">
        <f t="shared" si="3"/>
        <v>12.5</v>
      </c>
      <c r="P34" s="2">
        <f t="shared" si="4"/>
        <v>11.5</v>
      </c>
      <c r="Q34" s="2">
        <f t="shared" si="5"/>
        <v>51</v>
      </c>
    </row>
    <row r="35" spans="1:17" ht="34" x14ac:dyDescent="0.2">
      <c r="A35" s="10">
        <v>32</v>
      </c>
      <c r="B35" s="10" t="s">
        <v>38</v>
      </c>
      <c r="C35" s="10" t="s">
        <v>37</v>
      </c>
      <c r="D35" s="10" t="s">
        <v>33</v>
      </c>
      <c r="E35" s="11" t="s">
        <v>129</v>
      </c>
      <c r="F35" s="11" t="s">
        <v>128</v>
      </c>
      <c r="G35" s="11" t="s">
        <v>127</v>
      </c>
      <c r="H35" s="10">
        <v>4</v>
      </c>
      <c r="I35" s="10">
        <v>4</v>
      </c>
      <c r="J35" s="10">
        <v>3</v>
      </c>
      <c r="K35" s="10">
        <v>3</v>
      </c>
      <c r="L35" s="12">
        <f t="shared" si="0"/>
        <v>3.3333333333333335</v>
      </c>
      <c r="M35" s="2">
        <f t="shared" si="1"/>
        <v>1</v>
      </c>
      <c r="N35" s="2">
        <f t="shared" si="2"/>
        <v>27</v>
      </c>
      <c r="O35" s="2">
        <f t="shared" si="3"/>
        <v>12.5</v>
      </c>
      <c r="P35" s="2">
        <f t="shared" si="4"/>
        <v>21</v>
      </c>
      <c r="Q35" s="2">
        <f t="shared" si="5"/>
        <v>60.5</v>
      </c>
    </row>
    <row r="36" spans="1:17" ht="51" x14ac:dyDescent="0.2">
      <c r="A36" s="10">
        <v>33</v>
      </c>
      <c r="B36" s="10" t="s">
        <v>38</v>
      </c>
      <c r="C36" s="10" t="s">
        <v>37</v>
      </c>
      <c r="D36" s="10" t="s">
        <v>121</v>
      </c>
      <c r="E36" s="11" t="s">
        <v>126</v>
      </c>
      <c r="F36" s="11" t="s">
        <v>125</v>
      </c>
      <c r="G36" s="11" t="s">
        <v>64</v>
      </c>
      <c r="H36" s="10">
        <v>8</v>
      </c>
      <c r="I36" s="10">
        <v>4</v>
      </c>
      <c r="J36" s="10">
        <v>4</v>
      </c>
      <c r="K36" s="10">
        <v>1</v>
      </c>
      <c r="L36" s="12">
        <f t="shared" ref="L36:L67" si="6">AVERAGE(I36:K36)</f>
        <v>3</v>
      </c>
      <c r="M36" s="2">
        <f t="shared" ref="M36:M67" si="7">IF(COUNT(I36:K36)=3,1,0)</f>
        <v>1</v>
      </c>
      <c r="N36" s="2">
        <f t="shared" ref="N36:N67" si="8">IF($M36=0,"",COUNTIFS($B$4:$B$75,$B36,$M$4:$M$75,1,I$4:I$75,"&lt;"&amp;I36)+(COUNTIFS($B$4:$B$75,$B36,$M$4:$M$75,1,I$4:I$75,I36)+1)/2)</f>
        <v>27</v>
      </c>
      <c r="O36" s="2">
        <f t="shared" ref="O36:O67" si="9">IF($M36=0,"",COUNTIFS($B$4:$B$75,$B36,$M$4:$M$75,1,J$4:J$75,"&lt;"&amp;J36)+(COUNTIFS($B$4:$B$75,$B36,$M$4:$M$75,1,J$4:J$75,J36)+1)/2)</f>
        <v>29</v>
      </c>
      <c r="P36" s="2">
        <f t="shared" ref="P36:P67" si="10">IF($M36=0,"",COUNTIFS($B$4:$B$75,$B36,$M$4:$M$75,1,K$4:K$75,"&lt;"&amp;K36)+(COUNTIFS($B$4:$B$75,$B36,$M$4:$M$75,1,K$4:K$75,K36)+1)/2)</f>
        <v>4.5</v>
      </c>
      <c r="Q36" s="2">
        <f t="shared" ref="Q36:Q67" si="11">IF($M36=0,0,N36+O36+P36)</f>
        <v>60.5</v>
      </c>
    </row>
    <row r="37" spans="1:17" ht="34" x14ac:dyDescent="0.2">
      <c r="A37" s="10">
        <v>34</v>
      </c>
      <c r="B37" s="10" t="s">
        <v>38</v>
      </c>
      <c r="C37" s="10" t="s">
        <v>37</v>
      </c>
      <c r="D37" s="10" t="s">
        <v>33</v>
      </c>
      <c r="E37" s="11" t="s">
        <v>124</v>
      </c>
      <c r="F37" s="11" t="s">
        <v>123</v>
      </c>
      <c r="G37" s="11" t="s">
        <v>122</v>
      </c>
      <c r="H37" s="10">
        <v>8</v>
      </c>
      <c r="I37" s="10">
        <v>3</v>
      </c>
      <c r="J37" s="10">
        <v>4</v>
      </c>
      <c r="K37" s="10">
        <v>1</v>
      </c>
      <c r="L37" s="12">
        <f t="shared" si="6"/>
        <v>2.6666666666666665</v>
      </c>
      <c r="M37" s="2">
        <f t="shared" si="7"/>
        <v>1</v>
      </c>
      <c r="N37" s="2">
        <f t="shared" si="8"/>
        <v>10</v>
      </c>
      <c r="O37" s="2">
        <f t="shared" si="9"/>
        <v>29</v>
      </c>
      <c r="P37" s="2">
        <f t="shared" si="10"/>
        <v>4.5</v>
      </c>
      <c r="Q37" s="2">
        <f t="shared" si="11"/>
        <v>43.5</v>
      </c>
    </row>
    <row r="38" spans="1:17" ht="34" x14ac:dyDescent="0.2">
      <c r="A38" s="10">
        <v>35</v>
      </c>
      <c r="B38" s="10" t="s">
        <v>38</v>
      </c>
      <c r="C38" s="10" t="s">
        <v>37</v>
      </c>
      <c r="D38" s="10" t="s">
        <v>121</v>
      </c>
      <c r="E38" s="11" t="s">
        <v>120</v>
      </c>
      <c r="F38" s="11" t="s">
        <v>119</v>
      </c>
      <c r="G38" s="11" t="s">
        <v>118</v>
      </c>
      <c r="H38" s="10">
        <v>8</v>
      </c>
      <c r="I38" s="10">
        <v>4</v>
      </c>
      <c r="J38" s="10">
        <v>4</v>
      </c>
      <c r="K38" s="10">
        <v>3</v>
      </c>
      <c r="L38" s="12">
        <f t="shared" si="6"/>
        <v>3.6666666666666665</v>
      </c>
      <c r="M38" s="2">
        <f t="shared" si="7"/>
        <v>1</v>
      </c>
      <c r="N38" s="2">
        <f t="shared" si="8"/>
        <v>27</v>
      </c>
      <c r="O38" s="2">
        <f t="shared" si="9"/>
        <v>29</v>
      </c>
      <c r="P38" s="2">
        <f t="shared" si="10"/>
        <v>21</v>
      </c>
      <c r="Q38" s="2">
        <f t="shared" si="11"/>
        <v>77</v>
      </c>
    </row>
    <row r="39" spans="1:17" ht="34" x14ac:dyDescent="0.2">
      <c r="A39" s="10">
        <v>36</v>
      </c>
      <c r="B39" s="10" t="s">
        <v>38</v>
      </c>
      <c r="C39" s="10" t="s">
        <v>37</v>
      </c>
      <c r="D39" s="10" t="s">
        <v>33</v>
      </c>
      <c r="E39" s="11" t="s">
        <v>117</v>
      </c>
      <c r="F39" s="11" t="s">
        <v>116</v>
      </c>
      <c r="G39" s="11" t="s">
        <v>115</v>
      </c>
      <c r="H39" s="10">
        <v>8</v>
      </c>
      <c r="I39" s="10">
        <v>3</v>
      </c>
      <c r="J39" s="10">
        <v>4</v>
      </c>
      <c r="K39" s="10">
        <v>1</v>
      </c>
      <c r="L39" s="12">
        <f t="shared" si="6"/>
        <v>2.6666666666666665</v>
      </c>
      <c r="M39" s="2">
        <f t="shared" si="7"/>
        <v>1</v>
      </c>
      <c r="N39" s="2">
        <f t="shared" si="8"/>
        <v>10</v>
      </c>
      <c r="O39" s="2">
        <f t="shared" si="9"/>
        <v>29</v>
      </c>
      <c r="P39" s="2">
        <f t="shared" si="10"/>
        <v>4.5</v>
      </c>
      <c r="Q39" s="2">
        <f t="shared" si="11"/>
        <v>43.5</v>
      </c>
    </row>
    <row r="40" spans="1:17" ht="17" x14ac:dyDescent="0.2">
      <c r="A40" s="10">
        <v>37</v>
      </c>
      <c r="B40" s="10" t="s">
        <v>38</v>
      </c>
      <c r="C40" s="10" t="s">
        <v>37</v>
      </c>
      <c r="D40" s="10" t="s">
        <v>29</v>
      </c>
      <c r="E40" s="11" t="s">
        <v>114</v>
      </c>
      <c r="F40" s="11" t="s">
        <v>113</v>
      </c>
      <c r="G40" s="11" t="s">
        <v>112</v>
      </c>
      <c r="H40" s="10">
        <v>2</v>
      </c>
      <c r="I40" s="10">
        <v>2</v>
      </c>
      <c r="J40" s="10">
        <v>3</v>
      </c>
      <c r="K40" s="10">
        <v>1</v>
      </c>
      <c r="L40" s="12">
        <f t="shared" si="6"/>
        <v>2</v>
      </c>
      <c r="M40" s="2">
        <f t="shared" si="7"/>
        <v>1</v>
      </c>
      <c r="N40" s="2">
        <f t="shared" si="8"/>
        <v>1.5</v>
      </c>
      <c r="O40" s="2">
        <f t="shared" si="9"/>
        <v>12.5</v>
      </c>
      <c r="P40" s="2">
        <f t="shared" si="10"/>
        <v>4.5</v>
      </c>
      <c r="Q40" s="2">
        <f t="shared" si="11"/>
        <v>18.5</v>
      </c>
    </row>
    <row r="41" spans="1:17" ht="34" x14ac:dyDescent="0.2">
      <c r="A41" s="10">
        <v>38</v>
      </c>
      <c r="B41" s="10" t="s">
        <v>38</v>
      </c>
      <c r="C41" s="10" t="s">
        <v>37</v>
      </c>
      <c r="D41" s="10" t="s">
        <v>29</v>
      </c>
      <c r="E41" s="11" t="s">
        <v>111</v>
      </c>
      <c r="F41" s="11" t="s">
        <v>110</v>
      </c>
      <c r="G41" s="11" t="s">
        <v>109</v>
      </c>
      <c r="H41" s="10">
        <v>2</v>
      </c>
      <c r="I41" s="10">
        <v>3</v>
      </c>
      <c r="J41" s="10">
        <v>2</v>
      </c>
      <c r="K41" s="10">
        <v>3</v>
      </c>
      <c r="L41" s="12">
        <f t="shared" si="6"/>
        <v>2.6666666666666665</v>
      </c>
      <c r="M41" s="2">
        <f t="shared" si="7"/>
        <v>1</v>
      </c>
      <c r="N41" s="2">
        <f t="shared" si="8"/>
        <v>10</v>
      </c>
      <c r="O41" s="2">
        <f t="shared" si="9"/>
        <v>2</v>
      </c>
      <c r="P41" s="2">
        <f t="shared" si="10"/>
        <v>21</v>
      </c>
      <c r="Q41" s="2">
        <f t="shared" si="11"/>
        <v>33</v>
      </c>
    </row>
    <row r="42" spans="1:17" ht="34" x14ac:dyDescent="0.2">
      <c r="A42" s="10">
        <v>39</v>
      </c>
      <c r="B42" s="10" t="s">
        <v>38</v>
      </c>
      <c r="C42" s="10" t="s">
        <v>37</v>
      </c>
      <c r="D42" s="10" t="s">
        <v>29</v>
      </c>
      <c r="E42" s="11" t="s">
        <v>108</v>
      </c>
      <c r="F42" s="11" t="s">
        <v>107</v>
      </c>
      <c r="G42" s="11" t="s">
        <v>106</v>
      </c>
      <c r="H42" s="10">
        <v>2</v>
      </c>
      <c r="I42" s="10">
        <v>3</v>
      </c>
      <c r="J42" s="10">
        <v>3</v>
      </c>
      <c r="K42" s="10">
        <v>3</v>
      </c>
      <c r="L42" s="12">
        <f t="shared" si="6"/>
        <v>3</v>
      </c>
      <c r="M42" s="2">
        <f t="shared" si="7"/>
        <v>1</v>
      </c>
      <c r="N42" s="2">
        <f t="shared" si="8"/>
        <v>10</v>
      </c>
      <c r="O42" s="2">
        <f t="shared" si="9"/>
        <v>12.5</v>
      </c>
      <c r="P42" s="2">
        <f t="shared" si="10"/>
        <v>21</v>
      </c>
      <c r="Q42" s="2">
        <f t="shared" si="11"/>
        <v>43.5</v>
      </c>
    </row>
    <row r="43" spans="1:17" ht="34" x14ac:dyDescent="0.2">
      <c r="A43" s="10">
        <v>40</v>
      </c>
      <c r="B43" s="10" t="s">
        <v>38</v>
      </c>
      <c r="C43" s="10" t="s">
        <v>37</v>
      </c>
      <c r="D43" s="10" t="s">
        <v>29</v>
      </c>
      <c r="E43" s="11" t="s">
        <v>105</v>
      </c>
      <c r="F43" s="11" t="s">
        <v>104</v>
      </c>
      <c r="G43" s="11" t="s">
        <v>103</v>
      </c>
      <c r="H43" s="10">
        <v>4</v>
      </c>
      <c r="I43" s="10">
        <v>3</v>
      </c>
      <c r="J43" s="10">
        <v>4</v>
      </c>
      <c r="K43" s="10">
        <v>2</v>
      </c>
      <c r="L43" s="12">
        <f t="shared" si="6"/>
        <v>3</v>
      </c>
      <c r="M43" s="2">
        <f t="shared" si="7"/>
        <v>1</v>
      </c>
      <c r="N43" s="2">
        <f t="shared" si="8"/>
        <v>10</v>
      </c>
      <c r="O43" s="2">
        <f t="shared" si="9"/>
        <v>29</v>
      </c>
      <c r="P43" s="2">
        <f t="shared" si="10"/>
        <v>11.5</v>
      </c>
      <c r="Q43" s="2">
        <f t="shared" si="11"/>
        <v>50.5</v>
      </c>
    </row>
    <row r="44" spans="1:17" ht="51" x14ac:dyDescent="0.2">
      <c r="A44" s="10">
        <v>41</v>
      </c>
      <c r="B44" s="10" t="s">
        <v>38</v>
      </c>
      <c r="C44" s="10" t="s">
        <v>37</v>
      </c>
      <c r="D44" s="10" t="s">
        <v>29</v>
      </c>
      <c r="E44" s="11" t="s">
        <v>102</v>
      </c>
      <c r="F44" s="11" t="s">
        <v>101</v>
      </c>
      <c r="G44" s="11" t="s">
        <v>100</v>
      </c>
      <c r="H44" s="10">
        <v>4</v>
      </c>
      <c r="I44" s="10">
        <v>4</v>
      </c>
      <c r="J44" s="10">
        <v>3</v>
      </c>
      <c r="K44" s="10">
        <v>1</v>
      </c>
      <c r="L44" s="12">
        <f t="shared" si="6"/>
        <v>2.6666666666666665</v>
      </c>
      <c r="M44" s="2">
        <f t="shared" si="7"/>
        <v>1</v>
      </c>
      <c r="N44" s="2">
        <f t="shared" si="8"/>
        <v>27</v>
      </c>
      <c r="O44" s="2">
        <f t="shared" si="9"/>
        <v>12.5</v>
      </c>
      <c r="P44" s="2">
        <f t="shared" si="10"/>
        <v>4.5</v>
      </c>
      <c r="Q44" s="2">
        <f t="shared" si="11"/>
        <v>44</v>
      </c>
    </row>
    <row r="45" spans="1:17" ht="34" x14ac:dyDescent="0.2">
      <c r="A45" s="10">
        <v>42</v>
      </c>
      <c r="B45" s="10" t="s">
        <v>38</v>
      </c>
      <c r="C45" s="10" t="s">
        <v>37</v>
      </c>
      <c r="D45" s="10" t="s">
        <v>29</v>
      </c>
      <c r="E45" s="11" t="s">
        <v>99</v>
      </c>
      <c r="F45" s="11" t="s">
        <v>98</v>
      </c>
      <c r="G45" s="11" t="s">
        <v>64</v>
      </c>
      <c r="H45" s="10">
        <v>10</v>
      </c>
      <c r="I45" s="10">
        <v>3</v>
      </c>
      <c r="J45" s="10">
        <v>3</v>
      </c>
      <c r="K45" s="10">
        <v>1</v>
      </c>
      <c r="L45" s="12">
        <f t="shared" si="6"/>
        <v>2.3333333333333335</v>
      </c>
      <c r="M45" s="2">
        <f t="shared" si="7"/>
        <v>1</v>
      </c>
      <c r="N45" s="2">
        <f t="shared" si="8"/>
        <v>10</v>
      </c>
      <c r="O45" s="2">
        <f t="shared" si="9"/>
        <v>12.5</v>
      </c>
      <c r="P45" s="2">
        <f t="shared" si="10"/>
        <v>4.5</v>
      </c>
      <c r="Q45" s="2">
        <f t="shared" si="11"/>
        <v>27</v>
      </c>
    </row>
    <row r="46" spans="1:17" ht="34" x14ac:dyDescent="0.2">
      <c r="A46" s="10">
        <v>43</v>
      </c>
      <c r="B46" s="10" t="s">
        <v>38</v>
      </c>
      <c r="C46" s="10" t="s">
        <v>37</v>
      </c>
      <c r="D46" s="10" t="s">
        <v>86</v>
      </c>
      <c r="E46" s="11" t="s">
        <v>97</v>
      </c>
      <c r="F46" s="11" t="s">
        <v>96</v>
      </c>
      <c r="G46" s="11" t="s">
        <v>95</v>
      </c>
      <c r="H46" s="10">
        <v>1</v>
      </c>
      <c r="I46" s="10">
        <v>4</v>
      </c>
      <c r="J46" s="10">
        <v>3</v>
      </c>
      <c r="K46" s="10">
        <v>4</v>
      </c>
      <c r="L46" s="12">
        <f t="shared" si="6"/>
        <v>3.6666666666666665</v>
      </c>
      <c r="M46" s="2">
        <f t="shared" si="7"/>
        <v>1</v>
      </c>
      <c r="N46" s="2">
        <f t="shared" si="8"/>
        <v>27</v>
      </c>
      <c r="O46" s="2">
        <f t="shared" si="9"/>
        <v>12.5</v>
      </c>
      <c r="P46" s="2">
        <f t="shared" si="10"/>
        <v>32</v>
      </c>
      <c r="Q46" s="2">
        <f t="shared" si="11"/>
        <v>71.5</v>
      </c>
    </row>
    <row r="47" spans="1:17" ht="34" x14ac:dyDescent="0.2">
      <c r="A47" s="10">
        <v>44</v>
      </c>
      <c r="B47" s="10" t="s">
        <v>38</v>
      </c>
      <c r="C47" s="10" t="s">
        <v>37</v>
      </c>
      <c r="D47" s="10" t="s">
        <v>86</v>
      </c>
      <c r="E47" s="11" t="s">
        <v>94</v>
      </c>
      <c r="F47" s="11" t="s">
        <v>93</v>
      </c>
      <c r="G47" s="11" t="s">
        <v>92</v>
      </c>
      <c r="H47" s="10">
        <v>1</v>
      </c>
      <c r="I47" s="10">
        <v>3</v>
      </c>
      <c r="J47" s="10">
        <v>3</v>
      </c>
      <c r="K47" s="10">
        <v>2</v>
      </c>
      <c r="L47" s="12">
        <f t="shared" si="6"/>
        <v>2.6666666666666665</v>
      </c>
      <c r="M47" s="2">
        <f t="shared" si="7"/>
        <v>1</v>
      </c>
      <c r="N47" s="2">
        <f t="shared" si="8"/>
        <v>10</v>
      </c>
      <c r="O47" s="2">
        <f t="shared" si="9"/>
        <v>12.5</v>
      </c>
      <c r="P47" s="2">
        <f t="shared" si="10"/>
        <v>11.5</v>
      </c>
      <c r="Q47" s="2">
        <f t="shared" si="11"/>
        <v>34</v>
      </c>
    </row>
    <row r="48" spans="1:17" ht="34" x14ac:dyDescent="0.2">
      <c r="A48" s="10">
        <v>45</v>
      </c>
      <c r="B48" s="10" t="s">
        <v>38</v>
      </c>
      <c r="C48" s="10" t="s">
        <v>37</v>
      </c>
      <c r="D48" s="10" t="s">
        <v>86</v>
      </c>
      <c r="E48" s="11" t="s">
        <v>91</v>
      </c>
      <c r="F48" s="11" t="s">
        <v>90</v>
      </c>
      <c r="G48" s="11" t="s">
        <v>89</v>
      </c>
      <c r="H48" s="10">
        <v>2</v>
      </c>
      <c r="I48" s="10">
        <v>4</v>
      </c>
      <c r="J48" s="10">
        <v>3</v>
      </c>
      <c r="K48" s="10">
        <v>4</v>
      </c>
      <c r="L48" s="12">
        <f t="shared" si="6"/>
        <v>3.6666666666666665</v>
      </c>
      <c r="M48" s="2">
        <f t="shared" si="7"/>
        <v>1</v>
      </c>
      <c r="N48" s="2">
        <f t="shared" si="8"/>
        <v>27</v>
      </c>
      <c r="O48" s="2">
        <f t="shared" si="9"/>
        <v>12.5</v>
      </c>
      <c r="P48" s="2">
        <f t="shared" si="10"/>
        <v>32</v>
      </c>
      <c r="Q48" s="2">
        <f t="shared" si="11"/>
        <v>71.5</v>
      </c>
    </row>
    <row r="49" spans="1:17" ht="34" x14ac:dyDescent="0.2">
      <c r="A49" s="10">
        <v>46</v>
      </c>
      <c r="B49" s="10" t="s">
        <v>38</v>
      </c>
      <c r="C49" s="10" t="s">
        <v>37</v>
      </c>
      <c r="D49" s="10" t="s">
        <v>86</v>
      </c>
      <c r="E49" s="11" t="s">
        <v>88</v>
      </c>
      <c r="F49" s="11" t="s">
        <v>87</v>
      </c>
      <c r="G49" s="11" t="s">
        <v>75</v>
      </c>
      <c r="H49" s="10">
        <v>4</v>
      </c>
      <c r="I49" s="10">
        <v>4</v>
      </c>
      <c r="J49" s="10">
        <v>3</v>
      </c>
      <c r="K49" s="10">
        <v>1</v>
      </c>
      <c r="L49" s="12">
        <f t="shared" si="6"/>
        <v>2.6666666666666665</v>
      </c>
      <c r="M49" s="2">
        <f t="shared" si="7"/>
        <v>1</v>
      </c>
      <c r="N49" s="2">
        <f t="shared" si="8"/>
        <v>27</v>
      </c>
      <c r="O49" s="2">
        <f t="shared" si="9"/>
        <v>12.5</v>
      </c>
      <c r="P49" s="2">
        <f t="shared" si="10"/>
        <v>4.5</v>
      </c>
      <c r="Q49" s="2">
        <f t="shared" si="11"/>
        <v>44</v>
      </c>
    </row>
    <row r="50" spans="1:17" ht="34" x14ac:dyDescent="0.2">
      <c r="A50" s="10">
        <v>47</v>
      </c>
      <c r="B50" s="10" t="s">
        <v>38</v>
      </c>
      <c r="C50" s="10" t="s">
        <v>37</v>
      </c>
      <c r="D50" s="10" t="s">
        <v>86</v>
      </c>
      <c r="E50" s="11" t="s">
        <v>85</v>
      </c>
      <c r="F50" s="11" t="s">
        <v>84</v>
      </c>
      <c r="G50" s="11" t="s">
        <v>83</v>
      </c>
      <c r="H50" s="10">
        <v>8</v>
      </c>
      <c r="I50" s="10">
        <v>4</v>
      </c>
      <c r="J50" s="10">
        <v>4</v>
      </c>
      <c r="K50" s="10">
        <v>4</v>
      </c>
      <c r="L50" s="12">
        <f t="shared" si="6"/>
        <v>4</v>
      </c>
      <c r="M50" s="2">
        <f t="shared" si="7"/>
        <v>1</v>
      </c>
      <c r="N50" s="2">
        <f t="shared" si="8"/>
        <v>27</v>
      </c>
      <c r="O50" s="2">
        <f t="shared" si="9"/>
        <v>29</v>
      </c>
      <c r="P50" s="2">
        <f t="shared" si="10"/>
        <v>32</v>
      </c>
      <c r="Q50" s="2">
        <f t="shared" si="11"/>
        <v>88</v>
      </c>
    </row>
    <row r="51" spans="1:17" ht="34" x14ac:dyDescent="0.2">
      <c r="A51" s="10">
        <v>48</v>
      </c>
      <c r="B51" s="10" t="s">
        <v>38</v>
      </c>
      <c r="C51" s="10" t="s">
        <v>37</v>
      </c>
      <c r="D51" s="10" t="s">
        <v>63</v>
      </c>
      <c r="E51" s="11" t="s">
        <v>82</v>
      </c>
      <c r="F51" s="11" t="s">
        <v>81</v>
      </c>
      <c r="G51" s="11" t="s">
        <v>80</v>
      </c>
      <c r="H51" s="10">
        <v>1</v>
      </c>
      <c r="I51" s="10">
        <v>4</v>
      </c>
      <c r="J51" s="10">
        <v>4</v>
      </c>
      <c r="K51" s="10">
        <v>3</v>
      </c>
      <c r="L51" s="12">
        <f t="shared" si="6"/>
        <v>3.6666666666666665</v>
      </c>
      <c r="M51" s="2">
        <f t="shared" si="7"/>
        <v>1</v>
      </c>
      <c r="N51" s="2">
        <f t="shared" si="8"/>
        <v>27</v>
      </c>
      <c r="O51" s="2">
        <f t="shared" si="9"/>
        <v>29</v>
      </c>
      <c r="P51" s="2">
        <f t="shared" si="10"/>
        <v>21</v>
      </c>
      <c r="Q51" s="2">
        <f t="shared" si="11"/>
        <v>77</v>
      </c>
    </row>
    <row r="52" spans="1:17" ht="34" x14ac:dyDescent="0.2">
      <c r="A52" s="10">
        <v>49</v>
      </c>
      <c r="B52" s="10" t="s">
        <v>38</v>
      </c>
      <c r="C52" s="10" t="s">
        <v>37</v>
      </c>
      <c r="D52" s="10" t="s">
        <v>63</v>
      </c>
      <c r="E52" s="11" t="s">
        <v>79</v>
      </c>
      <c r="F52" s="11" t="s">
        <v>78</v>
      </c>
      <c r="G52" s="11" t="s">
        <v>64</v>
      </c>
      <c r="H52" s="10">
        <v>1</v>
      </c>
      <c r="I52" s="10">
        <v>3</v>
      </c>
      <c r="J52" s="10">
        <v>4</v>
      </c>
      <c r="K52" s="10">
        <v>4</v>
      </c>
      <c r="L52" s="12">
        <f t="shared" si="6"/>
        <v>3.6666666666666665</v>
      </c>
      <c r="M52" s="2">
        <f t="shared" si="7"/>
        <v>1</v>
      </c>
      <c r="N52" s="2">
        <f t="shared" si="8"/>
        <v>10</v>
      </c>
      <c r="O52" s="2">
        <f t="shared" si="9"/>
        <v>29</v>
      </c>
      <c r="P52" s="2">
        <f t="shared" si="10"/>
        <v>32</v>
      </c>
      <c r="Q52" s="2">
        <f t="shared" si="11"/>
        <v>71</v>
      </c>
    </row>
    <row r="53" spans="1:17" ht="34" x14ac:dyDescent="0.2">
      <c r="A53" s="10">
        <v>50</v>
      </c>
      <c r="B53" s="10" t="s">
        <v>38</v>
      </c>
      <c r="C53" s="10" t="s">
        <v>37</v>
      </c>
      <c r="D53" s="10" t="s">
        <v>63</v>
      </c>
      <c r="E53" s="11" t="s">
        <v>77</v>
      </c>
      <c r="F53" s="11" t="s">
        <v>76</v>
      </c>
      <c r="G53" s="11" t="s">
        <v>75</v>
      </c>
      <c r="H53" s="10">
        <v>1</v>
      </c>
      <c r="I53" s="10">
        <v>2</v>
      </c>
      <c r="J53" s="10">
        <v>3</v>
      </c>
      <c r="K53" s="10">
        <v>2</v>
      </c>
      <c r="L53" s="12">
        <f t="shared" si="6"/>
        <v>2.3333333333333335</v>
      </c>
      <c r="M53" s="2">
        <f t="shared" si="7"/>
        <v>1</v>
      </c>
      <c r="N53" s="2">
        <f t="shared" si="8"/>
        <v>1.5</v>
      </c>
      <c r="O53" s="2">
        <f t="shared" si="9"/>
        <v>12.5</v>
      </c>
      <c r="P53" s="2">
        <f t="shared" si="10"/>
        <v>11.5</v>
      </c>
      <c r="Q53" s="2">
        <f t="shared" si="11"/>
        <v>25.5</v>
      </c>
    </row>
    <row r="54" spans="1:17" ht="51" x14ac:dyDescent="0.2">
      <c r="A54" s="10">
        <v>51</v>
      </c>
      <c r="B54" s="10" t="s">
        <v>38</v>
      </c>
      <c r="C54" s="10" t="s">
        <v>37</v>
      </c>
      <c r="D54" s="10" t="s">
        <v>63</v>
      </c>
      <c r="E54" s="11" t="s">
        <v>74</v>
      </c>
      <c r="F54" s="11" t="s">
        <v>73</v>
      </c>
      <c r="G54" s="11" t="s">
        <v>72</v>
      </c>
      <c r="H54" s="10">
        <v>2</v>
      </c>
      <c r="I54" s="10">
        <v>4</v>
      </c>
      <c r="J54" s="10">
        <v>4</v>
      </c>
      <c r="K54" s="10">
        <v>1</v>
      </c>
      <c r="L54" s="12">
        <f t="shared" si="6"/>
        <v>3</v>
      </c>
      <c r="M54" s="2">
        <f t="shared" si="7"/>
        <v>1</v>
      </c>
      <c r="N54" s="2">
        <f t="shared" si="8"/>
        <v>27</v>
      </c>
      <c r="O54" s="2">
        <f t="shared" si="9"/>
        <v>29</v>
      </c>
      <c r="P54" s="2">
        <f t="shared" si="10"/>
        <v>4.5</v>
      </c>
      <c r="Q54" s="2">
        <f t="shared" si="11"/>
        <v>60.5</v>
      </c>
    </row>
    <row r="55" spans="1:17" ht="34" x14ac:dyDescent="0.2">
      <c r="A55" s="10">
        <v>52</v>
      </c>
      <c r="B55" s="10" t="s">
        <v>38</v>
      </c>
      <c r="C55" s="10" t="s">
        <v>37</v>
      </c>
      <c r="D55" s="10" t="s">
        <v>63</v>
      </c>
      <c r="E55" s="11" t="s">
        <v>71</v>
      </c>
      <c r="F55" s="11" t="s">
        <v>70</v>
      </c>
      <c r="G55" s="11" t="s">
        <v>34</v>
      </c>
      <c r="H55" s="10">
        <v>2</v>
      </c>
      <c r="I55" s="10">
        <v>3</v>
      </c>
      <c r="J55" s="10">
        <v>4</v>
      </c>
      <c r="K55" s="10">
        <v>3</v>
      </c>
      <c r="L55" s="12">
        <f t="shared" si="6"/>
        <v>3.3333333333333335</v>
      </c>
      <c r="M55" s="2">
        <f t="shared" si="7"/>
        <v>1</v>
      </c>
      <c r="N55" s="2">
        <f t="shared" si="8"/>
        <v>10</v>
      </c>
      <c r="O55" s="2">
        <f t="shared" si="9"/>
        <v>29</v>
      </c>
      <c r="P55" s="2">
        <f t="shared" si="10"/>
        <v>21</v>
      </c>
      <c r="Q55" s="2">
        <f t="shared" si="11"/>
        <v>60</v>
      </c>
    </row>
    <row r="56" spans="1:17" ht="17" x14ac:dyDescent="0.2">
      <c r="A56" s="10">
        <v>53</v>
      </c>
      <c r="B56" s="10" t="s">
        <v>38</v>
      </c>
      <c r="C56" s="10" t="s">
        <v>37</v>
      </c>
      <c r="D56" s="10" t="s">
        <v>63</v>
      </c>
      <c r="E56" s="11" t="s">
        <v>69</v>
      </c>
      <c r="F56" s="11" t="s">
        <v>68</v>
      </c>
      <c r="G56" s="11" t="s">
        <v>67</v>
      </c>
      <c r="H56" s="10">
        <v>3</v>
      </c>
      <c r="I56" s="10">
        <v>4</v>
      </c>
      <c r="J56" s="10">
        <v>4</v>
      </c>
      <c r="K56" s="10">
        <v>4</v>
      </c>
      <c r="L56" s="12">
        <f t="shared" si="6"/>
        <v>4</v>
      </c>
      <c r="M56" s="2">
        <f t="shared" si="7"/>
        <v>1</v>
      </c>
      <c r="N56" s="2">
        <f t="shared" si="8"/>
        <v>27</v>
      </c>
      <c r="O56" s="2">
        <f t="shared" si="9"/>
        <v>29</v>
      </c>
      <c r="P56" s="2">
        <f t="shared" si="10"/>
        <v>32</v>
      </c>
      <c r="Q56" s="2">
        <f t="shared" si="11"/>
        <v>88</v>
      </c>
    </row>
    <row r="57" spans="1:17" ht="34" x14ac:dyDescent="0.2">
      <c r="A57" s="10">
        <v>54</v>
      </c>
      <c r="B57" s="10" t="s">
        <v>38</v>
      </c>
      <c r="C57" s="10" t="s">
        <v>37</v>
      </c>
      <c r="D57" s="10" t="s">
        <v>63</v>
      </c>
      <c r="E57" s="11" t="s">
        <v>66</v>
      </c>
      <c r="F57" s="11" t="s">
        <v>65</v>
      </c>
      <c r="G57" s="11" t="s">
        <v>64</v>
      </c>
      <c r="H57" s="10">
        <v>3</v>
      </c>
      <c r="I57" s="10">
        <v>3</v>
      </c>
      <c r="J57" s="10">
        <v>4</v>
      </c>
      <c r="K57" s="10">
        <v>4</v>
      </c>
      <c r="L57" s="12">
        <f t="shared" si="6"/>
        <v>3.6666666666666665</v>
      </c>
      <c r="M57" s="2">
        <f t="shared" si="7"/>
        <v>1</v>
      </c>
      <c r="N57" s="2">
        <f t="shared" si="8"/>
        <v>10</v>
      </c>
      <c r="O57" s="2">
        <f t="shared" si="9"/>
        <v>29</v>
      </c>
      <c r="P57" s="2">
        <f t="shared" si="10"/>
        <v>32</v>
      </c>
      <c r="Q57" s="2">
        <f t="shared" si="11"/>
        <v>71</v>
      </c>
    </row>
    <row r="58" spans="1:17" ht="34" x14ac:dyDescent="0.2">
      <c r="A58" s="10">
        <v>55</v>
      </c>
      <c r="B58" s="10" t="s">
        <v>38</v>
      </c>
      <c r="C58" s="10" t="s">
        <v>37</v>
      </c>
      <c r="D58" s="10" t="s">
        <v>63</v>
      </c>
      <c r="E58" s="11" t="s">
        <v>62</v>
      </c>
      <c r="F58" s="11" t="s">
        <v>61</v>
      </c>
      <c r="G58" s="11" t="s">
        <v>60</v>
      </c>
      <c r="H58" s="10">
        <v>8</v>
      </c>
      <c r="I58" s="10">
        <v>4</v>
      </c>
      <c r="J58" s="10">
        <v>4</v>
      </c>
      <c r="K58" s="10">
        <v>3</v>
      </c>
      <c r="L58" s="12">
        <f t="shared" si="6"/>
        <v>3.6666666666666665</v>
      </c>
      <c r="M58" s="2">
        <f t="shared" si="7"/>
        <v>1</v>
      </c>
      <c r="N58" s="2">
        <f t="shared" si="8"/>
        <v>27</v>
      </c>
      <c r="O58" s="2">
        <f t="shared" si="9"/>
        <v>29</v>
      </c>
      <c r="P58" s="2">
        <f t="shared" si="10"/>
        <v>21</v>
      </c>
      <c r="Q58" s="2">
        <f t="shared" si="11"/>
        <v>77</v>
      </c>
    </row>
    <row r="59" spans="1:17" ht="34" x14ac:dyDescent="0.2">
      <c r="A59" s="10">
        <v>56</v>
      </c>
      <c r="B59" s="10" t="s">
        <v>38</v>
      </c>
      <c r="C59" s="10" t="s">
        <v>37</v>
      </c>
      <c r="D59" s="10" t="s">
        <v>50</v>
      </c>
      <c r="E59" s="11" t="s">
        <v>59</v>
      </c>
      <c r="F59" s="11" t="s">
        <v>58</v>
      </c>
      <c r="G59" s="11" t="s">
        <v>57</v>
      </c>
      <c r="H59" s="10">
        <v>1</v>
      </c>
      <c r="I59" s="10">
        <v>3</v>
      </c>
      <c r="J59" s="10">
        <v>4</v>
      </c>
      <c r="K59" s="10">
        <v>4</v>
      </c>
      <c r="L59" s="12">
        <f t="shared" si="6"/>
        <v>3.6666666666666665</v>
      </c>
      <c r="M59" s="2">
        <f t="shared" si="7"/>
        <v>1</v>
      </c>
      <c r="N59" s="2">
        <f t="shared" si="8"/>
        <v>10</v>
      </c>
      <c r="O59" s="2">
        <f t="shared" si="9"/>
        <v>29</v>
      </c>
      <c r="P59" s="2">
        <f t="shared" si="10"/>
        <v>32</v>
      </c>
      <c r="Q59" s="2">
        <f t="shared" si="11"/>
        <v>71</v>
      </c>
    </row>
    <row r="60" spans="1:17" ht="34" x14ac:dyDescent="0.2">
      <c r="A60" s="10">
        <v>57</v>
      </c>
      <c r="B60" s="10" t="s">
        <v>38</v>
      </c>
      <c r="C60" s="10" t="s">
        <v>37</v>
      </c>
      <c r="D60" s="10" t="s">
        <v>50</v>
      </c>
      <c r="E60" s="11" t="s">
        <v>56</v>
      </c>
      <c r="F60" s="11" t="s">
        <v>55</v>
      </c>
      <c r="G60" s="11" t="s">
        <v>54</v>
      </c>
      <c r="H60" s="10">
        <v>4</v>
      </c>
      <c r="I60" s="10">
        <v>4</v>
      </c>
      <c r="J60" s="10">
        <v>3</v>
      </c>
      <c r="K60" s="10">
        <v>4</v>
      </c>
      <c r="L60" s="12">
        <f t="shared" si="6"/>
        <v>3.6666666666666665</v>
      </c>
      <c r="M60" s="2">
        <f t="shared" si="7"/>
        <v>1</v>
      </c>
      <c r="N60" s="2">
        <f t="shared" si="8"/>
        <v>27</v>
      </c>
      <c r="O60" s="2">
        <f t="shared" si="9"/>
        <v>12.5</v>
      </c>
      <c r="P60" s="2">
        <f t="shared" si="10"/>
        <v>32</v>
      </c>
      <c r="Q60" s="2">
        <f t="shared" si="11"/>
        <v>71.5</v>
      </c>
    </row>
    <row r="61" spans="1:17" ht="34" x14ac:dyDescent="0.2">
      <c r="A61" s="10">
        <v>58</v>
      </c>
      <c r="B61" s="10" t="s">
        <v>38</v>
      </c>
      <c r="C61" s="10" t="s">
        <v>37</v>
      </c>
      <c r="D61" s="10" t="s">
        <v>50</v>
      </c>
      <c r="E61" s="11" t="s">
        <v>53</v>
      </c>
      <c r="F61" s="11" t="s">
        <v>52</v>
      </c>
      <c r="G61" s="11" t="s">
        <v>51</v>
      </c>
      <c r="H61" s="10">
        <v>4</v>
      </c>
      <c r="I61" s="10">
        <v>4</v>
      </c>
      <c r="J61" s="10">
        <v>2</v>
      </c>
      <c r="K61" s="10">
        <v>3</v>
      </c>
      <c r="L61" s="12">
        <f t="shared" si="6"/>
        <v>3</v>
      </c>
      <c r="M61" s="2">
        <f t="shared" si="7"/>
        <v>1</v>
      </c>
      <c r="N61" s="2">
        <f t="shared" si="8"/>
        <v>27</v>
      </c>
      <c r="O61" s="2">
        <f t="shared" si="9"/>
        <v>2</v>
      </c>
      <c r="P61" s="2">
        <f t="shared" si="10"/>
        <v>21</v>
      </c>
      <c r="Q61" s="2">
        <f t="shared" si="11"/>
        <v>50</v>
      </c>
    </row>
    <row r="62" spans="1:17" ht="34" x14ac:dyDescent="0.2">
      <c r="A62" s="10">
        <v>59</v>
      </c>
      <c r="B62" s="10" t="s">
        <v>38</v>
      </c>
      <c r="C62" s="10" t="s">
        <v>37</v>
      </c>
      <c r="D62" s="10" t="s">
        <v>50</v>
      </c>
      <c r="E62" s="11" t="s">
        <v>49</v>
      </c>
      <c r="F62" s="11" t="s">
        <v>48</v>
      </c>
      <c r="G62" s="11" t="s">
        <v>47</v>
      </c>
      <c r="H62" s="10">
        <v>8</v>
      </c>
      <c r="I62" s="10">
        <v>3</v>
      </c>
      <c r="J62" s="10">
        <v>2</v>
      </c>
      <c r="K62" s="10">
        <v>3</v>
      </c>
      <c r="L62" s="12">
        <f t="shared" si="6"/>
        <v>2.6666666666666665</v>
      </c>
      <c r="M62" s="2">
        <f t="shared" si="7"/>
        <v>1</v>
      </c>
      <c r="N62" s="2">
        <f t="shared" si="8"/>
        <v>10</v>
      </c>
      <c r="O62" s="2">
        <f t="shared" si="9"/>
        <v>2</v>
      </c>
      <c r="P62" s="2">
        <f t="shared" si="10"/>
        <v>21</v>
      </c>
      <c r="Q62" s="2">
        <f t="shared" si="11"/>
        <v>33</v>
      </c>
    </row>
    <row r="63" spans="1:17" ht="34" x14ac:dyDescent="0.2">
      <c r="A63" s="10">
        <v>60</v>
      </c>
      <c r="B63" s="10" t="s">
        <v>38</v>
      </c>
      <c r="C63" s="10" t="s">
        <v>37</v>
      </c>
      <c r="D63" s="10" t="s">
        <v>21</v>
      </c>
      <c r="E63" s="11" t="s">
        <v>46</v>
      </c>
      <c r="F63" s="11" t="s">
        <v>45</v>
      </c>
      <c r="G63" s="11" t="s">
        <v>34</v>
      </c>
      <c r="H63" s="10">
        <v>1</v>
      </c>
      <c r="I63" s="10">
        <v>4</v>
      </c>
      <c r="J63" s="10">
        <v>3</v>
      </c>
      <c r="K63" s="10">
        <v>2</v>
      </c>
      <c r="L63" s="12">
        <f t="shared" si="6"/>
        <v>3</v>
      </c>
      <c r="M63" s="2">
        <f t="shared" si="7"/>
        <v>1</v>
      </c>
      <c r="N63" s="2">
        <f t="shared" si="8"/>
        <v>27</v>
      </c>
      <c r="O63" s="2">
        <f t="shared" si="9"/>
        <v>12.5</v>
      </c>
      <c r="P63" s="2">
        <f t="shared" si="10"/>
        <v>11.5</v>
      </c>
      <c r="Q63" s="2">
        <f t="shared" si="11"/>
        <v>51</v>
      </c>
    </row>
    <row r="64" spans="1:17" ht="34" x14ac:dyDescent="0.2">
      <c r="A64" s="10">
        <v>61</v>
      </c>
      <c r="B64" s="10" t="s">
        <v>38</v>
      </c>
      <c r="C64" s="10" t="s">
        <v>37</v>
      </c>
      <c r="D64" s="10" t="s">
        <v>21</v>
      </c>
      <c r="E64" s="11" t="s">
        <v>44</v>
      </c>
      <c r="F64" s="11" t="s">
        <v>43</v>
      </c>
      <c r="G64" s="11" t="s">
        <v>42</v>
      </c>
      <c r="H64" s="10">
        <v>1</v>
      </c>
      <c r="I64" s="10">
        <v>3</v>
      </c>
      <c r="J64" s="10">
        <v>3</v>
      </c>
      <c r="K64" s="10">
        <v>4</v>
      </c>
      <c r="L64" s="12">
        <f t="shared" si="6"/>
        <v>3.3333333333333335</v>
      </c>
      <c r="M64" s="2">
        <f t="shared" si="7"/>
        <v>1</v>
      </c>
      <c r="N64" s="2">
        <f t="shared" si="8"/>
        <v>10</v>
      </c>
      <c r="O64" s="2">
        <f t="shared" si="9"/>
        <v>12.5</v>
      </c>
      <c r="P64" s="2">
        <f t="shared" si="10"/>
        <v>32</v>
      </c>
      <c r="Q64" s="2">
        <f t="shared" si="11"/>
        <v>54.5</v>
      </c>
    </row>
    <row r="65" spans="1:17" ht="34" x14ac:dyDescent="0.2">
      <c r="A65" s="10">
        <v>62</v>
      </c>
      <c r="B65" s="10" t="s">
        <v>38</v>
      </c>
      <c r="C65" s="10" t="s">
        <v>37</v>
      </c>
      <c r="D65" s="10" t="s">
        <v>3</v>
      </c>
      <c r="E65" s="11" t="s">
        <v>41</v>
      </c>
      <c r="F65" s="11" t="s">
        <v>40</v>
      </c>
      <c r="G65" s="11" t="s">
        <v>39</v>
      </c>
      <c r="H65" s="10">
        <v>1</v>
      </c>
      <c r="I65" s="10">
        <v>3</v>
      </c>
      <c r="J65" s="10">
        <v>3</v>
      </c>
      <c r="K65" s="10">
        <v>3</v>
      </c>
      <c r="L65" s="12">
        <f t="shared" si="6"/>
        <v>3</v>
      </c>
      <c r="M65" s="2">
        <f t="shared" si="7"/>
        <v>1</v>
      </c>
      <c r="N65" s="2">
        <f t="shared" si="8"/>
        <v>10</v>
      </c>
      <c r="O65" s="2">
        <f t="shared" si="9"/>
        <v>12.5</v>
      </c>
      <c r="P65" s="2">
        <f t="shared" si="10"/>
        <v>21</v>
      </c>
      <c r="Q65" s="2">
        <f t="shared" si="11"/>
        <v>43.5</v>
      </c>
    </row>
    <row r="66" spans="1:17" ht="34" x14ac:dyDescent="0.2">
      <c r="A66" s="10">
        <v>63</v>
      </c>
      <c r="B66" s="10" t="s">
        <v>38</v>
      </c>
      <c r="C66" s="10" t="s">
        <v>37</v>
      </c>
      <c r="D66" s="10" t="s">
        <v>3</v>
      </c>
      <c r="E66" s="11" t="s">
        <v>36</v>
      </c>
      <c r="F66" s="11" t="s">
        <v>35</v>
      </c>
      <c r="G66" s="11" t="s">
        <v>34</v>
      </c>
      <c r="H66" s="10">
        <v>1</v>
      </c>
      <c r="I66" s="10">
        <v>4</v>
      </c>
      <c r="J66" s="10">
        <v>4</v>
      </c>
      <c r="K66" s="10">
        <v>3</v>
      </c>
      <c r="L66" s="12">
        <f t="shared" si="6"/>
        <v>3.6666666666666665</v>
      </c>
      <c r="M66" s="2">
        <f t="shared" si="7"/>
        <v>1</v>
      </c>
      <c r="N66" s="2">
        <f t="shared" si="8"/>
        <v>27</v>
      </c>
      <c r="O66" s="2">
        <f t="shared" si="9"/>
        <v>29</v>
      </c>
      <c r="P66" s="2">
        <f t="shared" si="10"/>
        <v>21</v>
      </c>
      <c r="Q66" s="2">
        <f t="shared" si="11"/>
        <v>77</v>
      </c>
    </row>
    <row r="67" spans="1:17" ht="34" x14ac:dyDescent="0.2">
      <c r="A67" s="10">
        <v>64</v>
      </c>
      <c r="B67" s="10" t="s">
        <v>5</v>
      </c>
      <c r="C67" s="10" t="s">
        <v>4</v>
      </c>
      <c r="D67" s="10" t="s">
        <v>33</v>
      </c>
      <c r="E67" s="11" t="s">
        <v>32</v>
      </c>
      <c r="F67" s="11" t="s">
        <v>31</v>
      </c>
      <c r="G67" s="11" t="s">
        <v>30</v>
      </c>
      <c r="H67" s="10">
        <v>4</v>
      </c>
      <c r="I67" s="10">
        <v>3</v>
      </c>
      <c r="J67" s="10">
        <v>3</v>
      </c>
      <c r="K67" s="10">
        <v>1</v>
      </c>
      <c r="L67" s="12">
        <f t="shared" si="6"/>
        <v>2.3333333333333335</v>
      </c>
      <c r="M67" s="2">
        <f t="shared" si="7"/>
        <v>1</v>
      </c>
      <c r="N67" s="2">
        <f t="shared" si="8"/>
        <v>3</v>
      </c>
      <c r="O67" s="2">
        <f t="shared" si="9"/>
        <v>5</v>
      </c>
      <c r="P67" s="2">
        <f t="shared" si="10"/>
        <v>1.5</v>
      </c>
      <c r="Q67" s="2">
        <f t="shared" si="11"/>
        <v>9.5</v>
      </c>
    </row>
    <row r="68" spans="1:17" ht="34" x14ac:dyDescent="0.2">
      <c r="A68" s="10">
        <v>65</v>
      </c>
      <c r="B68" s="10" t="s">
        <v>5</v>
      </c>
      <c r="C68" s="10" t="s">
        <v>4</v>
      </c>
      <c r="D68" s="10" t="s">
        <v>29</v>
      </c>
      <c r="E68" s="11" t="s">
        <v>28</v>
      </c>
      <c r="F68" s="11" t="s">
        <v>27</v>
      </c>
      <c r="G68" s="11" t="s">
        <v>26</v>
      </c>
      <c r="H68" s="10">
        <v>2</v>
      </c>
      <c r="I68" s="10">
        <v>3</v>
      </c>
      <c r="J68" s="10">
        <v>2</v>
      </c>
      <c r="K68" s="10">
        <v>1</v>
      </c>
      <c r="L68" s="12">
        <f t="shared" ref="L68:L75" si="12">AVERAGE(I68:K68)</f>
        <v>2</v>
      </c>
      <c r="M68" s="2">
        <f t="shared" ref="M68:M75" si="13">IF(COUNT(I68:K68)=3,1,0)</f>
        <v>1</v>
      </c>
      <c r="N68" s="2">
        <f t="shared" ref="N68:N75" si="14">IF($M68=0,"",COUNTIFS($B$4:$B$75,$B68,$M$4:$M$75,1,I$4:I$75,"&lt;"&amp;I68)+(COUNTIFS($B$4:$B$75,$B68,$M$4:$M$75,1,I$4:I$75,I68)+1)/2)</f>
        <v>3</v>
      </c>
      <c r="O68" s="2">
        <f t="shared" ref="O68:O75" si="15">IF($M68=0,"",COUNTIFS($B$4:$B$75,$B68,$M$4:$M$75,1,J$4:J$75,"&lt;"&amp;J68)+(COUNTIFS($B$4:$B$75,$B68,$M$4:$M$75,1,J$4:J$75,J68)+1)/2)</f>
        <v>2.5</v>
      </c>
      <c r="P68" s="2">
        <f t="shared" ref="P68:P75" si="16">IF($M68=0,"",COUNTIFS($B$4:$B$75,$B68,$M$4:$M$75,1,K$4:K$75,"&lt;"&amp;K68)+(COUNTIFS($B$4:$B$75,$B68,$M$4:$M$75,1,K$4:K$75,K68)+1)/2)</f>
        <v>1.5</v>
      </c>
      <c r="Q68" s="2">
        <f t="shared" ref="Q68:Q75" si="17">IF($M68=0,0,N68+O68+P68)</f>
        <v>7</v>
      </c>
    </row>
    <row r="69" spans="1:17" ht="34" x14ac:dyDescent="0.2">
      <c r="A69" s="10">
        <v>66</v>
      </c>
      <c r="B69" s="10" t="s">
        <v>5</v>
      </c>
      <c r="C69" s="10" t="s">
        <v>4</v>
      </c>
      <c r="D69" s="10" t="s">
        <v>25</v>
      </c>
      <c r="E69" s="11" t="s">
        <v>24</v>
      </c>
      <c r="F69" s="11" t="s">
        <v>23</v>
      </c>
      <c r="G69" s="11" t="s">
        <v>22</v>
      </c>
      <c r="H69" s="10">
        <v>4</v>
      </c>
      <c r="I69" s="10">
        <v>4</v>
      </c>
      <c r="J69" s="10">
        <v>4</v>
      </c>
      <c r="K69" s="10">
        <v>3</v>
      </c>
      <c r="L69" s="12">
        <f t="shared" si="12"/>
        <v>3.6666666666666665</v>
      </c>
      <c r="M69" s="2">
        <f t="shared" si="13"/>
        <v>1</v>
      </c>
      <c r="N69" s="2">
        <f t="shared" si="14"/>
        <v>7.5</v>
      </c>
      <c r="O69" s="2">
        <f t="shared" si="15"/>
        <v>7.5</v>
      </c>
      <c r="P69" s="2">
        <f t="shared" si="16"/>
        <v>5</v>
      </c>
      <c r="Q69" s="2">
        <f t="shared" si="17"/>
        <v>20</v>
      </c>
    </row>
    <row r="70" spans="1:17" ht="34" x14ac:dyDescent="0.2">
      <c r="A70" s="10">
        <v>67</v>
      </c>
      <c r="B70" s="10" t="s">
        <v>5</v>
      </c>
      <c r="C70" s="10" t="s">
        <v>4</v>
      </c>
      <c r="D70" s="10" t="s">
        <v>21</v>
      </c>
      <c r="E70" s="11" t="s">
        <v>20</v>
      </c>
      <c r="F70" s="11" t="s">
        <v>19</v>
      </c>
      <c r="G70" s="11" t="s">
        <v>18</v>
      </c>
      <c r="H70" s="10">
        <v>4</v>
      </c>
      <c r="I70" s="10">
        <v>3</v>
      </c>
      <c r="J70" s="10">
        <v>2</v>
      </c>
      <c r="K70" s="10">
        <v>2</v>
      </c>
      <c r="L70" s="12">
        <f t="shared" si="12"/>
        <v>2.3333333333333335</v>
      </c>
      <c r="M70" s="2">
        <f t="shared" si="13"/>
        <v>1</v>
      </c>
      <c r="N70" s="2">
        <f t="shared" si="14"/>
        <v>3</v>
      </c>
      <c r="O70" s="2">
        <f t="shared" si="15"/>
        <v>2.5</v>
      </c>
      <c r="P70" s="2">
        <f t="shared" si="16"/>
        <v>3</v>
      </c>
      <c r="Q70" s="2">
        <f t="shared" si="17"/>
        <v>8.5</v>
      </c>
    </row>
    <row r="71" spans="1:17" ht="34" x14ac:dyDescent="0.2">
      <c r="A71" s="10">
        <v>68</v>
      </c>
      <c r="B71" s="10" t="s">
        <v>5</v>
      </c>
      <c r="C71" s="10" t="s">
        <v>4</v>
      </c>
      <c r="D71" s="10" t="s">
        <v>3</v>
      </c>
      <c r="E71" s="11" t="s">
        <v>17</v>
      </c>
      <c r="F71" s="11" t="s">
        <v>16</v>
      </c>
      <c r="G71" s="11" t="s">
        <v>15</v>
      </c>
      <c r="H71" s="10">
        <v>1</v>
      </c>
      <c r="I71" s="10">
        <v>3</v>
      </c>
      <c r="J71" s="10">
        <v>2</v>
      </c>
      <c r="K71" s="10">
        <v>3</v>
      </c>
      <c r="L71" s="12">
        <f t="shared" si="12"/>
        <v>2.6666666666666665</v>
      </c>
      <c r="M71" s="2">
        <f t="shared" si="13"/>
        <v>1</v>
      </c>
      <c r="N71" s="2">
        <f t="shared" si="14"/>
        <v>3</v>
      </c>
      <c r="O71" s="2">
        <f t="shared" si="15"/>
        <v>2.5</v>
      </c>
      <c r="P71" s="2">
        <f t="shared" si="16"/>
        <v>5</v>
      </c>
      <c r="Q71" s="2">
        <f t="shared" si="17"/>
        <v>10.5</v>
      </c>
    </row>
    <row r="72" spans="1:17" ht="34" x14ac:dyDescent="0.2">
      <c r="A72" s="10">
        <v>69</v>
      </c>
      <c r="B72" s="10" t="s">
        <v>5</v>
      </c>
      <c r="C72" s="10" t="s">
        <v>4</v>
      </c>
      <c r="D72" s="10" t="s">
        <v>3</v>
      </c>
      <c r="E72" s="11" t="s">
        <v>14</v>
      </c>
      <c r="F72" s="11" t="s">
        <v>13</v>
      </c>
      <c r="G72" s="11" t="s">
        <v>12</v>
      </c>
      <c r="H72" s="10">
        <v>1</v>
      </c>
      <c r="I72" s="10">
        <v>4</v>
      </c>
      <c r="J72" s="10">
        <v>2</v>
      </c>
      <c r="K72" s="10">
        <v>4</v>
      </c>
      <c r="L72" s="12">
        <f t="shared" si="12"/>
        <v>3.3333333333333335</v>
      </c>
      <c r="M72" s="2">
        <f t="shared" si="13"/>
        <v>1</v>
      </c>
      <c r="N72" s="2">
        <f t="shared" si="14"/>
        <v>7.5</v>
      </c>
      <c r="O72" s="2">
        <f t="shared" si="15"/>
        <v>2.5</v>
      </c>
      <c r="P72" s="2">
        <f t="shared" si="16"/>
        <v>8</v>
      </c>
      <c r="Q72" s="2">
        <f t="shared" si="17"/>
        <v>18</v>
      </c>
    </row>
    <row r="73" spans="1:17" ht="17" x14ac:dyDescent="0.2">
      <c r="A73" s="10">
        <v>70</v>
      </c>
      <c r="B73" s="10" t="s">
        <v>5</v>
      </c>
      <c r="C73" s="10" t="s">
        <v>4</v>
      </c>
      <c r="D73" s="10" t="s">
        <v>3</v>
      </c>
      <c r="E73" s="11" t="s">
        <v>11</v>
      </c>
      <c r="F73" s="11" t="s">
        <v>10</v>
      </c>
      <c r="G73" s="11" t="s">
        <v>9</v>
      </c>
      <c r="H73" s="10">
        <v>4</v>
      </c>
      <c r="I73" s="10">
        <v>4</v>
      </c>
      <c r="J73" s="10">
        <v>4</v>
      </c>
      <c r="K73" s="10">
        <v>3</v>
      </c>
      <c r="L73" s="12">
        <f t="shared" si="12"/>
        <v>3.6666666666666665</v>
      </c>
      <c r="M73" s="2">
        <f t="shared" si="13"/>
        <v>1</v>
      </c>
      <c r="N73" s="2">
        <f t="shared" si="14"/>
        <v>7.5</v>
      </c>
      <c r="O73" s="2">
        <f t="shared" si="15"/>
        <v>7.5</v>
      </c>
      <c r="P73" s="2">
        <f t="shared" si="16"/>
        <v>5</v>
      </c>
      <c r="Q73" s="2">
        <f t="shared" si="17"/>
        <v>20</v>
      </c>
    </row>
    <row r="74" spans="1:17" ht="34" x14ac:dyDescent="0.2">
      <c r="A74" s="10">
        <v>71</v>
      </c>
      <c r="B74" s="10" t="s">
        <v>5</v>
      </c>
      <c r="C74" s="10" t="s">
        <v>4</v>
      </c>
      <c r="D74" s="10" t="s">
        <v>3</v>
      </c>
      <c r="E74" s="11" t="s">
        <v>8</v>
      </c>
      <c r="F74" s="11" t="s">
        <v>7</v>
      </c>
      <c r="G74" s="11" t="s">
        <v>6</v>
      </c>
      <c r="H74" s="10">
        <v>4</v>
      </c>
      <c r="I74" s="10">
        <v>3</v>
      </c>
      <c r="J74" s="10">
        <v>4</v>
      </c>
      <c r="K74" s="10">
        <v>4</v>
      </c>
      <c r="L74" s="12">
        <f t="shared" si="12"/>
        <v>3.6666666666666665</v>
      </c>
      <c r="M74" s="2">
        <f t="shared" si="13"/>
        <v>1</v>
      </c>
      <c r="N74" s="2">
        <f t="shared" si="14"/>
        <v>3</v>
      </c>
      <c r="O74" s="2">
        <f t="shared" si="15"/>
        <v>7.5</v>
      </c>
      <c r="P74" s="2">
        <f t="shared" si="16"/>
        <v>8</v>
      </c>
      <c r="Q74" s="2">
        <f t="shared" si="17"/>
        <v>18.5</v>
      </c>
    </row>
    <row r="75" spans="1:17" ht="34" x14ac:dyDescent="0.2">
      <c r="A75" s="10">
        <v>72</v>
      </c>
      <c r="B75" s="10" t="s">
        <v>5</v>
      </c>
      <c r="C75" s="10" t="s">
        <v>4</v>
      </c>
      <c r="D75" s="10" t="s">
        <v>3</v>
      </c>
      <c r="E75" s="11" t="s">
        <v>2</v>
      </c>
      <c r="F75" s="11" t="s">
        <v>1</v>
      </c>
      <c r="G75" s="11" t="s">
        <v>0</v>
      </c>
      <c r="H75" s="10">
        <v>10</v>
      </c>
      <c r="I75" s="10">
        <v>4</v>
      </c>
      <c r="J75" s="10">
        <v>4</v>
      </c>
      <c r="K75" s="10">
        <v>4</v>
      </c>
      <c r="L75" s="12">
        <f t="shared" si="12"/>
        <v>4</v>
      </c>
      <c r="M75" s="2">
        <f t="shared" si="13"/>
        <v>1</v>
      </c>
      <c r="N75" s="2">
        <f t="shared" si="14"/>
        <v>7.5</v>
      </c>
      <c r="O75" s="2">
        <f t="shared" si="15"/>
        <v>7.5</v>
      </c>
      <c r="P75" s="2">
        <f t="shared" si="16"/>
        <v>8</v>
      </c>
      <c r="Q75" s="2">
        <f t="shared" si="17"/>
        <v>23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6F833-94E3-DE46-B6C1-687B4B4D9FFF}">
  <dimension ref="A1:H69"/>
  <sheetViews>
    <sheetView zoomScaleNormal="100" workbookViewId="0"/>
  </sheetViews>
  <sheetFormatPr baseColWidth="10" defaultColWidth="8.6640625" defaultRowHeight="15" x14ac:dyDescent="0.2"/>
  <cols>
    <col min="1" max="1" width="34" style="1" customWidth="1"/>
    <col min="2" max="2" width="44" style="1" customWidth="1"/>
    <col min="3" max="7" width="16" style="1" customWidth="1"/>
    <col min="8" max="16384" width="8.6640625" style="1"/>
  </cols>
  <sheetData>
    <row r="1" spans="1:8" ht="19" x14ac:dyDescent="0.25">
      <c r="A1" s="6" t="s">
        <v>277</v>
      </c>
      <c r="B1" s="13"/>
      <c r="C1" s="13"/>
      <c r="D1" s="13"/>
      <c r="E1" s="13"/>
      <c r="F1" s="13"/>
      <c r="G1" s="13"/>
      <c r="H1" s="13"/>
    </row>
    <row r="2" spans="1:8" x14ac:dyDescent="0.2">
      <c r="A2" s="13"/>
      <c r="B2" s="13"/>
      <c r="C2" s="13"/>
      <c r="D2" s="13"/>
      <c r="E2" s="13"/>
      <c r="F2" s="13"/>
      <c r="G2" s="13"/>
      <c r="H2" s="13"/>
    </row>
    <row r="3" spans="1:8" x14ac:dyDescent="0.2">
      <c r="A3" s="14" t="s">
        <v>276</v>
      </c>
      <c r="B3" s="13"/>
      <c r="C3" s="13"/>
      <c r="D3" s="13"/>
      <c r="E3" s="13"/>
      <c r="F3" s="13"/>
      <c r="G3" s="13"/>
      <c r="H3" s="13"/>
    </row>
    <row r="4" spans="1:8" x14ac:dyDescent="0.2">
      <c r="A4" s="15" t="s">
        <v>235</v>
      </c>
      <c r="B4" s="15" t="s">
        <v>228</v>
      </c>
      <c r="C4" s="15" t="s">
        <v>246</v>
      </c>
      <c r="D4" s="15" t="s">
        <v>245</v>
      </c>
      <c r="E4" s="15" t="s">
        <v>244</v>
      </c>
      <c r="F4" s="15" t="s">
        <v>243</v>
      </c>
      <c r="G4" s="13"/>
      <c r="H4" s="13"/>
    </row>
    <row r="5" spans="1:8" x14ac:dyDescent="0.2">
      <c r="A5" s="16">
        <v>1</v>
      </c>
      <c r="B5" s="17" t="s">
        <v>271</v>
      </c>
      <c r="C5" s="18">
        <f>IF(COUNTIFS(Podatki!$B$4:$B$75,"A",Podatki!$H$4:$H$75,1)=0,0,_xlfn.MAXIFS(Podatki!$L$4:$L$75,Podatki!$B$4:$B$75,"A",Podatki!$H$4:$H$75,1))</f>
        <v>3.3333333333333335</v>
      </c>
      <c r="D5" s="18">
        <f>IF(COUNTIFS(Podatki!$B$4:$B$75,"B",Podatki!$H$4:$H$75,1)=0,0,_xlfn.MAXIFS(Podatki!$L$4:$L$75,Podatki!$B$4:$B$75,"B",Podatki!$H$4:$H$75,1))</f>
        <v>3</v>
      </c>
      <c r="E5" s="18">
        <f>IF(COUNTIFS(Podatki!$B$4:$B$75,"C",Podatki!$H$4:$H$75,1)=0,0,_xlfn.MAXIFS(Podatki!$L$4:$L$75,Podatki!$B$4:$B$75,"C",Podatki!$H$4:$H$75,1))</f>
        <v>3.6666666666666665</v>
      </c>
      <c r="F5" s="18">
        <f>IF(COUNTIFS(Podatki!$B$4:$B$75,"D",Podatki!$H$4:$H$75,1)=0,0,_xlfn.MAXIFS(Podatki!$L$4:$L$75,Podatki!$B$4:$B$75,"D",Podatki!$H$4:$H$75,1))</f>
        <v>3.3333333333333335</v>
      </c>
      <c r="G5" s="13"/>
      <c r="H5" s="13"/>
    </row>
    <row r="6" spans="1:8" x14ac:dyDescent="0.2">
      <c r="A6" s="16">
        <v>2</v>
      </c>
      <c r="B6" s="17" t="s">
        <v>270</v>
      </c>
      <c r="C6" s="18">
        <f>IF(COUNTIFS(Podatki!$B$4:$B$75,"A",Podatki!$H$4:$H$75,2)=0,0,_xlfn.MAXIFS(Podatki!$L$4:$L$75,Podatki!$B$4:$B$75,"A",Podatki!$H$4:$H$75,2))</f>
        <v>2.3333333333333335</v>
      </c>
      <c r="D6" s="18">
        <f>IF(COUNTIFS(Podatki!$B$4:$B$75,"B",Podatki!$H$4:$H$75,2)=0,0,_xlfn.MAXIFS(Podatki!$L$4:$L$75,Podatki!$B$4:$B$75,"B",Podatki!$H$4:$H$75,2))</f>
        <v>3.3333333333333335</v>
      </c>
      <c r="E6" s="18">
        <f>IF(COUNTIFS(Podatki!$B$4:$B$75,"C",Podatki!$H$4:$H$75,2)=0,0,_xlfn.MAXIFS(Podatki!$L$4:$L$75,Podatki!$B$4:$B$75,"C",Podatki!$H$4:$H$75,2))</f>
        <v>3.6666666666666665</v>
      </c>
      <c r="F6" s="18">
        <f>IF(COUNTIFS(Podatki!$B$4:$B$75,"D",Podatki!$H$4:$H$75,2)=0,0,_xlfn.MAXIFS(Podatki!$L$4:$L$75,Podatki!$B$4:$B$75,"D",Podatki!$H$4:$H$75,2))</f>
        <v>2</v>
      </c>
      <c r="G6" s="13"/>
      <c r="H6" s="13"/>
    </row>
    <row r="7" spans="1:8" x14ac:dyDescent="0.2">
      <c r="A7" s="16">
        <v>3</v>
      </c>
      <c r="B7" s="17" t="s">
        <v>269</v>
      </c>
      <c r="C7" s="18">
        <f>IF(COUNTIFS(Podatki!$B$4:$B$75,"A",Podatki!$H$4:$H$75,3)=0,0,_xlfn.MAXIFS(Podatki!$L$4:$L$75,Podatki!$B$4:$B$75,"A",Podatki!$H$4:$H$75,3))</f>
        <v>3.6666666666666665</v>
      </c>
      <c r="D7" s="18">
        <f>IF(COUNTIFS(Podatki!$B$4:$B$75,"B",Podatki!$H$4:$H$75,3)=0,0,_xlfn.MAXIFS(Podatki!$L$4:$L$75,Podatki!$B$4:$B$75,"B",Podatki!$H$4:$H$75,3))</f>
        <v>0</v>
      </c>
      <c r="E7" s="18">
        <f>IF(COUNTIFS(Podatki!$B$4:$B$75,"C",Podatki!$H$4:$H$75,3)=0,0,_xlfn.MAXIFS(Podatki!$L$4:$L$75,Podatki!$B$4:$B$75,"C",Podatki!$H$4:$H$75,3))</f>
        <v>4</v>
      </c>
      <c r="F7" s="18">
        <f>IF(COUNTIFS(Podatki!$B$4:$B$75,"D",Podatki!$H$4:$H$75,3)=0,0,_xlfn.MAXIFS(Podatki!$L$4:$L$75,Podatki!$B$4:$B$75,"D",Podatki!$H$4:$H$75,3))</f>
        <v>0</v>
      </c>
      <c r="G7" s="13"/>
      <c r="H7" s="13"/>
    </row>
    <row r="8" spans="1:8" x14ac:dyDescent="0.2">
      <c r="A8" s="16">
        <v>4</v>
      </c>
      <c r="B8" s="17" t="s">
        <v>268</v>
      </c>
      <c r="C8" s="18">
        <f>IF(COUNTIFS(Podatki!$B$4:$B$75,"A",Podatki!$H$4:$H$75,4)=0,0,_xlfn.MAXIFS(Podatki!$L$4:$L$75,Podatki!$B$4:$B$75,"A",Podatki!$H$4:$H$75,4))</f>
        <v>3.6666666666666665</v>
      </c>
      <c r="D8" s="18">
        <f>IF(COUNTIFS(Podatki!$B$4:$B$75,"B",Podatki!$H$4:$H$75,4)=0,0,_xlfn.MAXIFS(Podatki!$L$4:$L$75,Podatki!$B$4:$B$75,"B",Podatki!$H$4:$H$75,4))</f>
        <v>1.3333333333333333</v>
      </c>
      <c r="E8" s="18">
        <f>IF(COUNTIFS(Podatki!$B$4:$B$75,"C",Podatki!$H$4:$H$75,4)=0,0,_xlfn.MAXIFS(Podatki!$L$4:$L$75,Podatki!$B$4:$B$75,"C",Podatki!$H$4:$H$75,4))</f>
        <v>3.6666666666666665</v>
      </c>
      <c r="F8" s="18">
        <f>IF(COUNTIFS(Podatki!$B$4:$B$75,"D",Podatki!$H$4:$H$75,4)=0,0,_xlfn.MAXIFS(Podatki!$L$4:$L$75,Podatki!$B$4:$B$75,"D",Podatki!$H$4:$H$75,4))</f>
        <v>3.6666666666666665</v>
      </c>
      <c r="G8" s="13"/>
      <c r="H8" s="13"/>
    </row>
    <row r="9" spans="1:8" x14ac:dyDescent="0.2">
      <c r="A9" s="16">
        <v>5</v>
      </c>
      <c r="B9" s="17" t="s">
        <v>267</v>
      </c>
      <c r="C9" s="19">
        <f>IF(COUNTIFS(Podatki!$B$4:$B$75,"A",Podatki!$H$4:$H$75,5)=0,0,_xlfn.MAXIFS(Podatki!$L$4:$L$75,Podatki!$B$4:$B$75,"A",Podatki!$H$4:$H$75,5))</f>
        <v>2.3333333333333335</v>
      </c>
      <c r="D9" s="19">
        <f>IF(COUNTIFS(Podatki!$B$4:$B$75,"B",Podatki!$H$4:$H$75,5)=0,0,_xlfn.MAXIFS(Podatki!$L$4:$L$75,Podatki!$B$4:$B$75,"B",Podatki!$H$4:$H$75,5))</f>
        <v>0</v>
      </c>
      <c r="E9" s="19">
        <f>IF(COUNTIFS(Podatki!$B$4:$B$75,"C",Podatki!$H$4:$H$75,5)=0,0,_xlfn.MAXIFS(Podatki!$L$4:$L$75,Podatki!$B$4:$B$75,"C",Podatki!$H$4:$H$75,5))</f>
        <v>0</v>
      </c>
      <c r="F9" s="19">
        <f>IF(COUNTIFS(Podatki!$B$4:$B$75,"D",Podatki!$H$4:$H$75,5)=0,0,_xlfn.MAXIFS(Podatki!$L$4:$L$75,Podatki!$B$4:$B$75,"D",Podatki!$H$4:$H$75,5))</f>
        <v>0</v>
      </c>
      <c r="G9" s="13"/>
      <c r="H9" s="13"/>
    </row>
    <row r="10" spans="1:8" x14ac:dyDescent="0.2">
      <c r="A10" s="16">
        <v>6</v>
      </c>
      <c r="B10" s="17" t="s">
        <v>266</v>
      </c>
      <c r="C10" s="18">
        <f>IF(COUNTIFS(Podatki!$B$4:$B$75,"A",Podatki!$H$4:$H$75,6)=0,0,_xlfn.MAXIFS(Podatki!$L$4:$L$75,Podatki!$B$4:$B$75,"A",Podatki!$H$4:$H$75,6))</f>
        <v>3</v>
      </c>
      <c r="D10" s="18">
        <f>IF(COUNTIFS(Podatki!$B$4:$B$75,"B",Podatki!$H$4:$H$75,6)=0,0,_xlfn.MAXIFS(Podatki!$L$4:$L$75,Podatki!$B$4:$B$75,"B",Podatki!$H$4:$H$75,6))</f>
        <v>3</v>
      </c>
      <c r="E10" s="18">
        <f>IF(COUNTIFS(Podatki!$B$4:$B$75,"C",Podatki!$H$4:$H$75,6)=0,0,_xlfn.MAXIFS(Podatki!$L$4:$L$75,Podatki!$B$4:$B$75,"C",Podatki!$H$4:$H$75,6))</f>
        <v>0</v>
      </c>
      <c r="F10" s="18">
        <f>IF(COUNTIFS(Podatki!$B$4:$B$75,"D",Podatki!$H$4:$H$75,6)=0,0,_xlfn.MAXIFS(Podatki!$L$4:$L$75,Podatki!$B$4:$B$75,"D",Podatki!$H$4:$H$75,6))</f>
        <v>0</v>
      </c>
      <c r="G10" s="13"/>
      <c r="H10" s="13"/>
    </row>
    <row r="11" spans="1:8" x14ac:dyDescent="0.2">
      <c r="A11" s="16">
        <v>7</v>
      </c>
      <c r="B11" s="17" t="s">
        <v>265</v>
      </c>
      <c r="C11" s="19">
        <f>IF(COUNTIFS(Podatki!$B$4:$B$75,"A",Podatki!$H$4:$H$75,7)=0,0,_xlfn.MAXIFS(Podatki!$L$4:$L$75,Podatki!$B$4:$B$75,"A",Podatki!$H$4:$H$75,7))</f>
        <v>0</v>
      </c>
      <c r="D11" s="19">
        <f>IF(COUNTIFS(Podatki!$B$4:$B$75,"B",Podatki!$H$4:$H$75,7)=0,0,_xlfn.MAXIFS(Podatki!$L$4:$L$75,Podatki!$B$4:$B$75,"B",Podatki!$H$4:$H$75,7))</f>
        <v>0</v>
      </c>
      <c r="E11" s="19">
        <f>IF(COUNTIFS(Podatki!$B$4:$B$75,"C",Podatki!$H$4:$H$75,7)=0,0,_xlfn.MAXIFS(Podatki!$L$4:$L$75,Podatki!$B$4:$B$75,"C",Podatki!$H$4:$H$75,7))</f>
        <v>0</v>
      </c>
      <c r="F11" s="19">
        <f>IF(COUNTIFS(Podatki!$B$4:$B$75,"D",Podatki!$H$4:$H$75,7)=0,0,_xlfn.MAXIFS(Podatki!$L$4:$L$75,Podatki!$B$4:$B$75,"D",Podatki!$H$4:$H$75,7))</f>
        <v>0</v>
      </c>
      <c r="G11" s="13"/>
      <c r="H11" s="13"/>
    </row>
    <row r="12" spans="1:8" x14ac:dyDescent="0.2">
      <c r="A12" s="16">
        <v>8</v>
      </c>
      <c r="B12" s="17" t="s">
        <v>264</v>
      </c>
      <c r="C12" s="18">
        <f>IF(COUNTIFS(Podatki!$B$4:$B$75,"A",Podatki!$H$4:$H$75,8)=0,0,_xlfn.MAXIFS(Podatki!$L$4:$L$75,Podatki!$B$4:$B$75,"A",Podatki!$H$4:$H$75,8))</f>
        <v>2.3333333333333335</v>
      </c>
      <c r="D12" s="18">
        <f>IF(COUNTIFS(Podatki!$B$4:$B$75,"B",Podatki!$H$4:$H$75,8)=0,0,_xlfn.MAXIFS(Podatki!$L$4:$L$75,Podatki!$B$4:$B$75,"B",Podatki!$H$4:$H$75,8))</f>
        <v>0</v>
      </c>
      <c r="E12" s="18">
        <f>IF(COUNTIFS(Podatki!$B$4:$B$75,"C",Podatki!$H$4:$H$75,8)=0,0,_xlfn.MAXIFS(Podatki!$L$4:$L$75,Podatki!$B$4:$B$75,"C",Podatki!$H$4:$H$75,8))</f>
        <v>4</v>
      </c>
      <c r="F12" s="18">
        <f>IF(COUNTIFS(Podatki!$B$4:$B$75,"D",Podatki!$H$4:$H$75,8)=0,0,_xlfn.MAXIFS(Podatki!$L$4:$L$75,Podatki!$B$4:$B$75,"D",Podatki!$H$4:$H$75,8))</f>
        <v>0</v>
      </c>
      <c r="G12" s="13"/>
      <c r="H12" s="13"/>
    </row>
    <row r="13" spans="1:8" x14ac:dyDescent="0.2">
      <c r="A13" s="16">
        <v>9</v>
      </c>
      <c r="B13" s="17" t="s">
        <v>263</v>
      </c>
      <c r="C13" s="18">
        <f>IF(COUNTIFS(Podatki!$B$4:$B$75,"A",Podatki!$H$4:$H$75,9)=0,0,_xlfn.MAXIFS(Podatki!$L$4:$L$75,Podatki!$B$4:$B$75,"A",Podatki!$H$4:$H$75,9))</f>
        <v>0</v>
      </c>
      <c r="D13" s="18">
        <f>IF(COUNTIFS(Podatki!$B$4:$B$75,"B",Podatki!$H$4:$H$75,9)=0,0,_xlfn.MAXIFS(Podatki!$L$4:$L$75,Podatki!$B$4:$B$75,"B",Podatki!$H$4:$H$75,9))</f>
        <v>0</v>
      </c>
      <c r="E13" s="18">
        <f>IF(COUNTIFS(Podatki!$B$4:$B$75,"C",Podatki!$H$4:$H$75,9)=0,0,_xlfn.MAXIFS(Podatki!$L$4:$L$75,Podatki!$B$4:$B$75,"C",Podatki!$H$4:$H$75,9))</f>
        <v>0</v>
      </c>
      <c r="F13" s="18">
        <f>IF(COUNTIFS(Podatki!$B$4:$B$75,"D",Podatki!$H$4:$H$75,9)=0,0,_xlfn.MAXIFS(Podatki!$L$4:$L$75,Podatki!$B$4:$B$75,"D",Podatki!$H$4:$H$75,9))</f>
        <v>0</v>
      </c>
      <c r="G13" s="13"/>
      <c r="H13" s="13"/>
    </row>
    <row r="14" spans="1:8" x14ac:dyDescent="0.2">
      <c r="A14" s="16">
        <v>10</v>
      </c>
      <c r="B14" s="17" t="s">
        <v>262</v>
      </c>
      <c r="C14" s="18">
        <f>IF(COUNTIFS(Podatki!$B$4:$B$75,"A",Podatki!$H$4:$H$75,10)=0,0,_xlfn.MAXIFS(Podatki!$L$4:$L$75,Podatki!$B$4:$B$75,"A",Podatki!$H$4:$H$75,10))</f>
        <v>0</v>
      </c>
      <c r="D14" s="18">
        <f>IF(COUNTIFS(Podatki!$B$4:$B$75,"B",Podatki!$H$4:$H$75,10)=0,0,_xlfn.MAXIFS(Podatki!$L$4:$L$75,Podatki!$B$4:$B$75,"B",Podatki!$H$4:$H$75,10))</f>
        <v>3</v>
      </c>
      <c r="E14" s="18">
        <f>IF(COUNTIFS(Podatki!$B$4:$B$75,"C",Podatki!$H$4:$H$75,10)=0,0,_xlfn.MAXIFS(Podatki!$L$4:$L$75,Podatki!$B$4:$B$75,"C",Podatki!$H$4:$H$75,10))</f>
        <v>2.3333333333333335</v>
      </c>
      <c r="F14" s="18">
        <f>IF(COUNTIFS(Podatki!$B$4:$B$75,"D",Podatki!$H$4:$H$75,10)=0,0,_xlfn.MAXIFS(Podatki!$L$4:$L$75,Podatki!$B$4:$B$75,"D",Podatki!$H$4:$H$75,10))</f>
        <v>4</v>
      </c>
      <c r="G14" s="13"/>
      <c r="H14" s="13"/>
    </row>
    <row r="15" spans="1:8" x14ac:dyDescent="0.2">
      <c r="A15" s="20"/>
      <c r="B15" s="21" t="s">
        <v>275</v>
      </c>
      <c r="C15" s="22">
        <f>SUM(C5:C14)-C9-C11</f>
        <v>18.333333333333336</v>
      </c>
      <c r="D15" s="22">
        <f>SUM(D5:D14)-D9-D11</f>
        <v>13.666666666666668</v>
      </c>
      <c r="E15" s="22">
        <f>SUM(E5:E14)-E9-E11</f>
        <v>21.333333333333332</v>
      </c>
      <c r="F15" s="22">
        <f>SUM(F5:F14)-F9-F11</f>
        <v>13</v>
      </c>
      <c r="G15" s="13"/>
      <c r="H15" s="13"/>
    </row>
    <row r="16" spans="1:8" x14ac:dyDescent="0.2">
      <c r="A16" s="20"/>
      <c r="B16" s="17" t="s">
        <v>274</v>
      </c>
      <c r="C16" s="16">
        <v>32</v>
      </c>
      <c r="D16" s="16">
        <v>32</v>
      </c>
      <c r="E16" s="16">
        <v>32</v>
      </c>
      <c r="F16" s="16">
        <v>32</v>
      </c>
      <c r="G16" s="13"/>
      <c r="H16" s="13"/>
    </row>
    <row r="17" spans="1:8" x14ac:dyDescent="0.2">
      <c r="A17" s="13"/>
      <c r="B17" s="13"/>
      <c r="C17" s="13"/>
      <c r="D17" s="13"/>
      <c r="E17" s="13"/>
      <c r="F17" s="13"/>
      <c r="G17" s="13"/>
      <c r="H17" s="13"/>
    </row>
    <row r="18" spans="1:8" ht="19" x14ac:dyDescent="0.25">
      <c r="A18" s="23" t="s">
        <v>273</v>
      </c>
      <c r="B18" s="13"/>
      <c r="C18" s="13"/>
      <c r="D18" s="13"/>
      <c r="E18" s="13"/>
      <c r="F18" s="13"/>
      <c r="G18" s="13"/>
      <c r="H18" s="13"/>
    </row>
    <row r="19" spans="1:8" x14ac:dyDescent="0.2">
      <c r="A19" s="15" t="s">
        <v>235</v>
      </c>
      <c r="B19" s="15" t="s">
        <v>228</v>
      </c>
      <c r="C19" s="15" t="s">
        <v>246</v>
      </c>
      <c r="D19" s="15" t="s">
        <v>245</v>
      </c>
      <c r="E19" s="15" t="s">
        <v>244</v>
      </c>
      <c r="F19" s="15" t="s">
        <v>243</v>
      </c>
      <c r="G19" s="15" t="s">
        <v>272</v>
      </c>
      <c r="H19" s="13"/>
    </row>
    <row r="20" spans="1:8" x14ac:dyDescent="0.2">
      <c r="A20" s="16">
        <v>1</v>
      </c>
      <c r="B20" s="17" t="s">
        <v>271</v>
      </c>
      <c r="C20" s="16">
        <f>COUNTIFS(Podatki!$B$4:$B$75,"A",Podatki!$H$4:$H$75,1)</f>
        <v>3</v>
      </c>
      <c r="D20" s="16">
        <f>COUNTIFS(Podatki!$B$4:$B$75,"B",Podatki!$H$4:$H$75,1)</f>
        <v>1</v>
      </c>
      <c r="E20" s="16">
        <f>COUNTIFS(Podatki!$B$4:$B$75,"C",Podatki!$H$4:$H$75,1)</f>
        <v>10</v>
      </c>
      <c r="F20" s="16">
        <f>COUNTIFS(Podatki!$B$4:$B$75,"D",Podatki!$H$4:$H$75,1)</f>
        <v>2</v>
      </c>
      <c r="G20" s="16">
        <f t="shared" ref="G20:G30" si="0">SUM(C20:F20)</f>
        <v>16</v>
      </c>
      <c r="H20" s="13"/>
    </row>
    <row r="21" spans="1:8" x14ac:dyDescent="0.2">
      <c r="A21" s="16">
        <v>2</v>
      </c>
      <c r="B21" s="17" t="s">
        <v>270</v>
      </c>
      <c r="C21" s="16">
        <f>COUNTIFS(Podatki!$B$4:$B$75,"A",Podatki!$H$4:$H$75,2)</f>
        <v>4</v>
      </c>
      <c r="D21" s="16">
        <f>COUNTIFS(Podatki!$B$4:$B$75,"B",Podatki!$H$4:$H$75,2)</f>
        <v>1</v>
      </c>
      <c r="E21" s="16">
        <f>COUNTIFS(Podatki!$B$4:$B$75,"C",Podatki!$H$4:$H$75,2)</f>
        <v>7</v>
      </c>
      <c r="F21" s="16">
        <f>COUNTIFS(Podatki!$B$4:$B$75,"D",Podatki!$H$4:$H$75,2)</f>
        <v>1</v>
      </c>
      <c r="G21" s="16">
        <f t="shared" si="0"/>
        <v>13</v>
      </c>
      <c r="H21" s="13"/>
    </row>
    <row r="22" spans="1:8" x14ac:dyDescent="0.2">
      <c r="A22" s="16">
        <v>3</v>
      </c>
      <c r="B22" s="17" t="s">
        <v>269</v>
      </c>
      <c r="C22" s="16">
        <f>COUNTIFS(Podatki!$B$4:$B$75,"A",Podatki!$H$4:$H$75,3)</f>
        <v>2</v>
      </c>
      <c r="D22" s="16">
        <f>COUNTIFS(Podatki!$B$4:$B$75,"B",Podatki!$H$4:$H$75,3)</f>
        <v>0</v>
      </c>
      <c r="E22" s="16">
        <f>COUNTIFS(Podatki!$B$4:$B$75,"C",Podatki!$H$4:$H$75,3)</f>
        <v>2</v>
      </c>
      <c r="F22" s="16">
        <f>COUNTIFS(Podatki!$B$4:$B$75,"D",Podatki!$H$4:$H$75,3)</f>
        <v>0</v>
      </c>
      <c r="G22" s="16">
        <f t="shared" si="0"/>
        <v>4</v>
      </c>
      <c r="H22" s="13"/>
    </row>
    <row r="23" spans="1:8" x14ac:dyDescent="0.2">
      <c r="A23" s="16">
        <v>4</v>
      </c>
      <c r="B23" s="17" t="s">
        <v>268</v>
      </c>
      <c r="C23" s="16">
        <f>COUNTIFS(Podatki!$B$4:$B$75,"A",Podatki!$H$4:$H$75,4)</f>
        <v>6</v>
      </c>
      <c r="D23" s="16">
        <f>COUNTIFS(Podatki!$B$4:$B$75,"B",Podatki!$H$4:$H$75,4)</f>
        <v>1</v>
      </c>
      <c r="E23" s="16">
        <f>COUNTIFS(Podatki!$B$4:$B$75,"C",Podatki!$H$4:$H$75,4)</f>
        <v>9</v>
      </c>
      <c r="F23" s="16">
        <f>COUNTIFS(Podatki!$B$4:$B$75,"D",Podatki!$H$4:$H$75,4)</f>
        <v>5</v>
      </c>
      <c r="G23" s="16">
        <f t="shared" si="0"/>
        <v>21</v>
      </c>
      <c r="H23" s="13"/>
    </row>
    <row r="24" spans="1:8" x14ac:dyDescent="0.2">
      <c r="A24" s="16">
        <v>5</v>
      </c>
      <c r="B24" s="17" t="s">
        <v>267</v>
      </c>
      <c r="C24" s="24">
        <f>COUNTIFS(Podatki!$B$4:$B$75,"A",Podatki!$H$4:$H$75,5)</f>
        <v>1</v>
      </c>
      <c r="D24" s="24">
        <f>COUNTIFS(Podatki!$B$4:$B$75,"B",Podatki!$H$4:$H$75,5)</f>
        <v>0</v>
      </c>
      <c r="E24" s="24">
        <f>COUNTIFS(Podatki!$B$4:$B$75,"C",Podatki!$H$4:$H$75,5)</f>
        <v>0</v>
      </c>
      <c r="F24" s="24">
        <f>COUNTIFS(Podatki!$B$4:$B$75,"D",Podatki!$H$4:$H$75,5)</f>
        <v>0</v>
      </c>
      <c r="G24" s="16">
        <f t="shared" si="0"/>
        <v>1</v>
      </c>
      <c r="H24" s="13"/>
    </row>
    <row r="25" spans="1:8" x14ac:dyDescent="0.2">
      <c r="A25" s="16">
        <v>6</v>
      </c>
      <c r="B25" s="17" t="s">
        <v>266</v>
      </c>
      <c r="C25" s="16">
        <f>COUNTIFS(Podatki!$B$4:$B$75,"A",Podatki!$H$4:$H$75,6)</f>
        <v>1</v>
      </c>
      <c r="D25" s="16">
        <f>COUNTIFS(Podatki!$B$4:$B$75,"B",Podatki!$H$4:$H$75,6)</f>
        <v>2</v>
      </c>
      <c r="E25" s="16">
        <f>COUNTIFS(Podatki!$B$4:$B$75,"C",Podatki!$H$4:$H$75,6)</f>
        <v>0</v>
      </c>
      <c r="F25" s="16">
        <f>COUNTIFS(Podatki!$B$4:$B$75,"D",Podatki!$H$4:$H$75,6)</f>
        <v>0</v>
      </c>
      <c r="G25" s="16">
        <f t="shared" si="0"/>
        <v>3</v>
      </c>
      <c r="H25" s="13"/>
    </row>
    <row r="26" spans="1:8" x14ac:dyDescent="0.2">
      <c r="A26" s="16">
        <v>7</v>
      </c>
      <c r="B26" s="17" t="s">
        <v>265</v>
      </c>
      <c r="C26" s="24">
        <f>COUNTIFS(Podatki!$B$4:$B$75,"A",Podatki!$H$4:$H$75,7)</f>
        <v>0</v>
      </c>
      <c r="D26" s="24">
        <f>COUNTIFS(Podatki!$B$4:$B$75,"B",Podatki!$H$4:$H$75,7)</f>
        <v>0</v>
      </c>
      <c r="E26" s="24">
        <f>COUNTIFS(Podatki!$B$4:$B$75,"C",Podatki!$H$4:$H$75,7)</f>
        <v>0</v>
      </c>
      <c r="F26" s="24">
        <f>COUNTIFS(Podatki!$B$4:$B$75,"D",Podatki!$H$4:$H$75,7)</f>
        <v>0</v>
      </c>
      <c r="G26" s="16">
        <f t="shared" si="0"/>
        <v>0</v>
      </c>
      <c r="H26" s="13"/>
    </row>
    <row r="27" spans="1:8" x14ac:dyDescent="0.2">
      <c r="A27" s="16">
        <v>8</v>
      </c>
      <c r="B27" s="17" t="s">
        <v>264</v>
      </c>
      <c r="C27" s="16">
        <f>COUNTIFS(Podatki!$B$4:$B$75,"A",Podatki!$H$4:$H$75,8)</f>
        <v>4</v>
      </c>
      <c r="D27" s="16">
        <f>COUNTIFS(Podatki!$B$4:$B$75,"B",Podatki!$H$4:$H$75,8)</f>
        <v>0</v>
      </c>
      <c r="E27" s="16">
        <f>COUNTIFS(Podatki!$B$4:$B$75,"C",Podatki!$H$4:$H$75,8)</f>
        <v>7</v>
      </c>
      <c r="F27" s="16">
        <f>COUNTIFS(Podatki!$B$4:$B$75,"D",Podatki!$H$4:$H$75,8)</f>
        <v>0</v>
      </c>
      <c r="G27" s="16">
        <f t="shared" si="0"/>
        <v>11</v>
      </c>
      <c r="H27" s="13"/>
    </row>
    <row r="28" spans="1:8" x14ac:dyDescent="0.2">
      <c r="A28" s="16">
        <v>9</v>
      </c>
      <c r="B28" s="17" t="s">
        <v>263</v>
      </c>
      <c r="C28" s="16">
        <f>COUNTIFS(Podatki!$B$4:$B$75,"A",Podatki!$H$4:$H$75,9)</f>
        <v>0</v>
      </c>
      <c r="D28" s="16">
        <f>COUNTIFS(Podatki!$B$4:$B$75,"B",Podatki!$H$4:$H$75,9)</f>
        <v>0</v>
      </c>
      <c r="E28" s="16">
        <f>COUNTIFS(Podatki!$B$4:$B$75,"C",Podatki!$H$4:$H$75,9)</f>
        <v>0</v>
      </c>
      <c r="F28" s="16">
        <f>COUNTIFS(Podatki!$B$4:$B$75,"D",Podatki!$H$4:$H$75,9)</f>
        <v>0</v>
      </c>
      <c r="G28" s="16">
        <f t="shared" si="0"/>
        <v>0</v>
      </c>
      <c r="H28" s="13"/>
    </row>
    <row r="29" spans="1:8" x14ac:dyDescent="0.2">
      <c r="A29" s="16">
        <v>10</v>
      </c>
      <c r="B29" s="17" t="s">
        <v>262</v>
      </c>
      <c r="C29" s="16">
        <f>COUNTIFS(Podatki!$B$4:$B$75,"A",Podatki!$H$4:$H$75,10)</f>
        <v>0</v>
      </c>
      <c r="D29" s="16">
        <f>COUNTIFS(Podatki!$B$4:$B$75,"B",Podatki!$H$4:$H$75,10)</f>
        <v>1</v>
      </c>
      <c r="E29" s="16">
        <f>COUNTIFS(Podatki!$B$4:$B$75,"C",Podatki!$H$4:$H$75,10)</f>
        <v>1</v>
      </c>
      <c r="F29" s="16">
        <f>COUNTIFS(Podatki!$B$4:$B$75,"D",Podatki!$H$4:$H$75,10)</f>
        <v>1</v>
      </c>
      <c r="G29" s="16">
        <f t="shared" si="0"/>
        <v>3</v>
      </c>
      <c r="H29" s="13"/>
    </row>
    <row r="30" spans="1:8" x14ac:dyDescent="0.2">
      <c r="A30" s="20"/>
      <c r="B30" s="21" t="s">
        <v>261</v>
      </c>
      <c r="C30" s="25">
        <f>COUNTIF(Podatki!$B$4:$B$75,"A")</f>
        <v>21</v>
      </c>
      <c r="D30" s="25">
        <f>COUNTIF(Podatki!$B$4:$B$75,"B")</f>
        <v>6</v>
      </c>
      <c r="E30" s="25">
        <f>COUNTIF(Podatki!$B$4:$B$75,"C")</f>
        <v>36</v>
      </c>
      <c r="F30" s="25">
        <f>COUNTIF(Podatki!$B$4:$B$75,"D")</f>
        <v>9</v>
      </c>
      <c r="G30" s="25">
        <f t="shared" si="0"/>
        <v>72</v>
      </c>
      <c r="H30" s="13"/>
    </row>
    <row r="31" spans="1:8" x14ac:dyDescent="0.2">
      <c r="A31" s="13"/>
      <c r="B31" s="13"/>
      <c r="C31" s="13"/>
      <c r="D31" s="13"/>
      <c r="E31" s="13"/>
      <c r="F31" s="13"/>
      <c r="G31" s="13"/>
      <c r="H31" s="13"/>
    </row>
    <row r="32" spans="1:8" ht="19" x14ac:dyDescent="0.25">
      <c r="A32" s="23" t="s">
        <v>260</v>
      </c>
      <c r="B32" s="13"/>
      <c r="C32" s="13"/>
      <c r="D32" s="13"/>
      <c r="E32" s="13"/>
      <c r="F32" s="13"/>
      <c r="G32" s="13"/>
      <c r="H32" s="13"/>
    </row>
    <row r="33" spans="1:8" x14ac:dyDescent="0.2">
      <c r="A33" s="15" t="s">
        <v>247</v>
      </c>
      <c r="B33" s="15" t="s">
        <v>246</v>
      </c>
      <c r="C33" s="15" t="s">
        <v>245</v>
      </c>
      <c r="D33" s="15" t="s">
        <v>244</v>
      </c>
      <c r="E33" s="15" t="s">
        <v>243</v>
      </c>
      <c r="F33" s="13"/>
      <c r="G33" s="13"/>
      <c r="H33" s="13"/>
    </row>
    <row r="34" spans="1:8" x14ac:dyDescent="0.2">
      <c r="A34" s="17" t="s">
        <v>224</v>
      </c>
      <c r="B34" s="18">
        <f>AVERAGEIF(Podatki!$B$4:$B$75,"A",Podatki!$L$4:$L$75)</f>
        <v>2.4444444444444438</v>
      </c>
      <c r="C34" s="18">
        <f>AVERAGEIF(Podatki!$B$4:$B$75,"B",Podatki!$L$4:$L$75)</f>
        <v>2.7222222222222228</v>
      </c>
      <c r="D34" s="18">
        <f>AVERAGEIF(Podatki!$B$4:$B$75,"C",Podatki!$L$4:$L$75)</f>
        <v>3.1481481481481484</v>
      </c>
      <c r="E34" s="18">
        <f>AVERAGEIF(Podatki!$B$4:$B$75,"D",Podatki!$L$4:$L$75)</f>
        <v>3.0740740740740744</v>
      </c>
      <c r="F34" s="13"/>
      <c r="G34" s="13"/>
      <c r="H34" s="13"/>
    </row>
    <row r="35" spans="1:8" x14ac:dyDescent="0.2">
      <c r="A35" s="13"/>
      <c r="B35" s="13"/>
      <c r="C35" s="13"/>
      <c r="D35" s="13"/>
      <c r="E35" s="13"/>
      <c r="F35" s="13"/>
      <c r="G35" s="13"/>
      <c r="H35" s="13"/>
    </row>
    <row r="36" spans="1:8" ht="19" x14ac:dyDescent="0.25">
      <c r="A36" s="23" t="s">
        <v>259</v>
      </c>
      <c r="B36" s="13"/>
      <c r="C36" s="13"/>
      <c r="D36" s="13"/>
      <c r="E36" s="13"/>
      <c r="F36" s="13"/>
      <c r="G36" s="13"/>
      <c r="H36" s="13"/>
    </row>
    <row r="37" spans="1:8" x14ac:dyDescent="0.2">
      <c r="A37" s="26" t="s">
        <v>258</v>
      </c>
      <c r="B37" s="13"/>
      <c r="C37" s="18">
        <f>AVERAGE(C15,E15,F15)</f>
        <v>17.555555555555557</v>
      </c>
      <c r="D37" s="13"/>
      <c r="E37" s="13"/>
      <c r="F37" s="13"/>
      <c r="G37" s="13"/>
      <c r="H37" s="13"/>
    </row>
    <row r="38" spans="1:8" x14ac:dyDescent="0.2">
      <c r="A38" s="26" t="s">
        <v>257</v>
      </c>
      <c r="B38" s="13"/>
      <c r="C38" s="18">
        <f>D15</f>
        <v>13.666666666666668</v>
      </c>
      <c r="D38" s="13"/>
      <c r="E38" s="13"/>
      <c r="F38" s="13"/>
      <c r="G38" s="13"/>
      <c r="H38" s="13"/>
    </row>
    <row r="39" spans="1:8" x14ac:dyDescent="0.2">
      <c r="A39" s="26" t="s">
        <v>256</v>
      </c>
      <c r="B39" s="13"/>
      <c r="C39" s="18">
        <f>C37-C38</f>
        <v>3.8888888888888893</v>
      </c>
      <c r="D39" s="13"/>
      <c r="E39" s="13"/>
      <c r="F39" s="13"/>
      <c r="G39" s="13"/>
      <c r="H39" s="13"/>
    </row>
    <row r="40" spans="1:8" x14ac:dyDescent="0.2">
      <c r="A40" s="26" t="s">
        <v>255</v>
      </c>
      <c r="B40" s="13"/>
      <c r="C40" s="18">
        <v>3.2</v>
      </c>
      <c r="D40" s="13"/>
      <c r="E40" s="13"/>
      <c r="F40" s="13"/>
      <c r="G40" s="13"/>
      <c r="H40" s="13"/>
    </row>
    <row r="41" spans="1:8" x14ac:dyDescent="0.2">
      <c r="A41" s="26" t="s">
        <v>254</v>
      </c>
      <c r="B41" s="13"/>
      <c r="C41" s="25" t="str">
        <f>IF(ABS(C39)&gt;C40,"da","ne")</f>
        <v>da</v>
      </c>
      <c r="D41" s="13"/>
      <c r="E41" s="13"/>
      <c r="F41" s="13"/>
      <c r="G41" s="13"/>
      <c r="H41" s="13"/>
    </row>
    <row r="42" spans="1:8" x14ac:dyDescent="0.2">
      <c r="A42" s="13"/>
      <c r="B42" s="13"/>
      <c r="C42" s="13"/>
      <c r="D42" s="13"/>
      <c r="E42" s="13"/>
      <c r="F42" s="13"/>
      <c r="G42" s="13"/>
      <c r="H42" s="13"/>
    </row>
    <row r="43" spans="1:8" ht="19" x14ac:dyDescent="0.25">
      <c r="A43" s="23" t="s">
        <v>253</v>
      </c>
      <c r="B43" s="13"/>
      <c r="C43" s="13"/>
      <c r="D43" s="13"/>
      <c r="E43" s="13"/>
      <c r="F43" s="13"/>
      <c r="G43" s="13"/>
      <c r="H43" s="13"/>
    </row>
    <row r="44" spans="1:8" x14ac:dyDescent="0.2">
      <c r="A44" s="26" t="s">
        <v>252</v>
      </c>
      <c r="B44" s="13"/>
      <c r="C44" s="18">
        <f>C15-D15</f>
        <v>4.6666666666666679</v>
      </c>
      <c r="D44" s="13"/>
      <c r="E44" s="13"/>
      <c r="F44" s="13"/>
      <c r="G44" s="13"/>
      <c r="H44" s="13"/>
    </row>
    <row r="45" spans="1:8" x14ac:dyDescent="0.2">
      <c r="A45" s="26" t="s">
        <v>251</v>
      </c>
      <c r="B45" s="13"/>
      <c r="C45" s="18">
        <f>E15-D15</f>
        <v>7.6666666666666643</v>
      </c>
      <c r="D45" s="13"/>
      <c r="E45" s="13"/>
      <c r="F45" s="13"/>
      <c r="G45" s="13"/>
      <c r="H45" s="13"/>
    </row>
    <row r="46" spans="1:8" x14ac:dyDescent="0.2">
      <c r="A46" s="26" t="s">
        <v>250</v>
      </c>
      <c r="B46" s="13"/>
      <c r="C46" s="18">
        <f>F15-D15</f>
        <v>-0.66666666666666785</v>
      </c>
      <c r="D46" s="13"/>
      <c r="E46" s="13"/>
      <c r="F46" s="13"/>
      <c r="G46" s="13"/>
      <c r="H46" s="13"/>
    </row>
    <row r="47" spans="1:8" x14ac:dyDescent="0.2">
      <c r="A47" s="13"/>
      <c r="B47" s="13"/>
      <c r="C47" s="13"/>
      <c r="D47" s="13"/>
      <c r="E47" s="13"/>
      <c r="F47" s="13"/>
      <c r="G47" s="13"/>
      <c r="H47" s="13"/>
    </row>
    <row r="48" spans="1:8" ht="19" x14ac:dyDescent="0.25">
      <c r="A48" s="23" t="s">
        <v>249</v>
      </c>
      <c r="B48" s="13"/>
      <c r="C48" s="13"/>
      <c r="D48" s="13"/>
      <c r="E48" s="13"/>
      <c r="F48" s="13"/>
      <c r="G48" s="13"/>
      <c r="H48" s="13"/>
    </row>
    <row r="49" spans="1:8" x14ac:dyDescent="0.2">
      <c r="A49" s="15" t="s">
        <v>248</v>
      </c>
      <c r="B49" s="15" t="s">
        <v>247</v>
      </c>
      <c r="C49" s="15" t="s">
        <v>246</v>
      </c>
      <c r="D49" s="15" t="s">
        <v>245</v>
      </c>
      <c r="E49" s="15" t="s">
        <v>244</v>
      </c>
      <c r="F49" s="15" t="s">
        <v>243</v>
      </c>
      <c r="G49" s="15" t="s">
        <v>242</v>
      </c>
      <c r="H49" s="13"/>
    </row>
    <row r="50" spans="1:8" x14ac:dyDescent="0.2">
      <c r="A50" s="17" t="s">
        <v>241</v>
      </c>
      <c r="B50" s="17" t="s">
        <v>239</v>
      </c>
      <c r="C50" s="16">
        <f>C20+C21+C28</f>
        <v>7</v>
      </c>
      <c r="D50" s="16">
        <f>D20+D21+D28</f>
        <v>2</v>
      </c>
      <c r="E50" s="16">
        <f>E20+E21+E28</f>
        <v>17</v>
      </c>
      <c r="F50" s="16">
        <f>F20+F21+F28</f>
        <v>3</v>
      </c>
      <c r="G50" s="18">
        <f t="shared" ref="G50:G55" si="1">AVERAGE(C50,E50,F50)</f>
        <v>9</v>
      </c>
      <c r="H50" s="13"/>
    </row>
    <row r="51" spans="1:8" x14ac:dyDescent="0.2">
      <c r="A51" s="17" t="s">
        <v>241</v>
      </c>
      <c r="B51" s="17" t="s">
        <v>237</v>
      </c>
      <c r="C51" s="18">
        <f>C5+C6+C13</f>
        <v>5.666666666666667</v>
      </c>
      <c r="D51" s="18">
        <f>D5+D6+D13</f>
        <v>6.3333333333333339</v>
      </c>
      <c r="E51" s="18">
        <f>E5+E6+E13</f>
        <v>7.333333333333333</v>
      </c>
      <c r="F51" s="18">
        <f>F5+F6+F13</f>
        <v>5.3333333333333339</v>
      </c>
      <c r="G51" s="18">
        <f t="shared" si="1"/>
        <v>6.1111111111111116</v>
      </c>
      <c r="H51" s="13"/>
    </row>
    <row r="52" spans="1:8" x14ac:dyDescent="0.2">
      <c r="A52" s="17" t="s">
        <v>240</v>
      </c>
      <c r="B52" s="17" t="s">
        <v>239</v>
      </c>
      <c r="C52" s="16">
        <f>C23</f>
        <v>6</v>
      </c>
      <c r="D52" s="16">
        <f>D23</f>
        <v>1</v>
      </c>
      <c r="E52" s="16">
        <f>E23</f>
        <v>9</v>
      </c>
      <c r="F52" s="16">
        <f>F23</f>
        <v>5</v>
      </c>
      <c r="G52" s="18">
        <f t="shared" si="1"/>
        <v>6.666666666666667</v>
      </c>
      <c r="H52" s="13"/>
    </row>
    <row r="53" spans="1:8" x14ac:dyDescent="0.2">
      <c r="A53" s="17" t="s">
        <v>240</v>
      </c>
      <c r="B53" s="17" t="s">
        <v>237</v>
      </c>
      <c r="C53" s="18">
        <f>C8</f>
        <v>3.6666666666666665</v>
      </c>
      <c r="D53" s="18">
        <f>D8</f>
        <v>1.3333333333333333</v>
      </c>
      <c r="E53" s="18">
        <f>E8</f>
        <v>3.6666666666666665</v>
      </c>
      <c r="F53" s="18">
        <f>F8</f>
        <v>3.6666666666666665</v>
      </c>
      <c r="G53" s="18">
        <f t="shared" si="1"/>
        <v>3.6666666666666665</v>
      </c>
      <c r="H53" s="13"/>
    </row>
    <row r="54" spans="1:8" x14ac:dyDescent="0.2">
      <c r="A54" s="17" t="s">
        <v>238</v>
      </c>
      <c r="B54" s="17" t="s">
        <v>239</v>
      </c>
      <c r="C54" s="16">
        <f>C25+C27</f>
        <v>5</v>
      </c>
      <c r="D54" s="16">
        <f>D25+D27</f>
        <v>2</v>
      </c>
      <c r="E54" s="16">
        <f>E25+E27</f>
        <v>7</v>
      </c>
      <c r="F54" s="16">
        <f>F25+F27</f>
        <v>0</v>
      </c>
      <c r="G54" s="18">
        <f t="shared" si="1"/>
        <v>4</v>
      </c>
      <c r="H54" s="13"/>
    </row>
    <row r="55" spans="1:8" x14ac:dyDescent="0.2">
      <c r="A55" s="17" t="s">
        <v>238</v>
      </c>
      <c r="B55" s="17" t="s">
        <v>237</v>
      </c>
      <c r="C55" s="18">
        <f>C10+C12</f>
        <v>5.3333333333333339</v>
      </c>
      <c r="D55" s="18">
        <f>D10+D12</f>
        <v>3</v>
      </c>
      <c r="E55" s="18">
        <f>E10+E12</f>
        <v>4</v>
      </c>
      <c r="F55" s="18">
        <f>F10+F12</f>
        <v>0</v>
      </c>
      <c r="G55" s="18">
        <f t="shared" si="1"/>
        <v>3.1111111111111112</v>
      </c>
      <c r="H55" s="13"/>
    </row>
    <row r="56" spans="1:8" x14ac:dyDescent="0.2">
      <c r="A56" s="13"/>
      <c r="B56" s="13"/>
      <c r="C56" s="13"/>
      <c r="D56" s="13"/>
      <c r="E56" s="13"/>
      <c r="F56" s="13"/>
      <c r="G56" s="13"/>
      <c r="H56" s="13"/>
    </row>
    <row r="57" spans="1:8" x14ac:dyDescent="0.2">
      <c r="A57" s="27"/>
      <c r="B57" s="13"/>
      <c r="C57" s="13"/>
      <c r="D57" s="13"/>
      <c r="E57" s="13"/>
      <c r="F57" s="13"/>
      <c r="G57" s="13"/>
      <c r="H57" s="13"/>
    </row>
    <row r="58" spans="1:8" ht="16" x14ac:dyDescent="0.2">
      <c r="A58" s="42"/>
      <c r="B58" s="42"/>
      <c r="C58" s="42"/>
      <c r="D58" s="42"/>
      <c r="E58" s="42"/>
      <c r="F58" s="42"/>
      <c r="G58" s="42"/>
      <c r="H58" s="4"/>
    </row>
    <row r="59" spans="1:8" ht="19" x14ac:dyDescent="0.25">
      <c r="A59" s="40" t="s">
        <v>316</v>
      </c>
      <c r="B59" s="39"/>
      <c r="C59" s="41" t="s">
        <v>162</v>
      </c>
      <c r="D59" s="41" t="s">
        <v>143</v>
      </c>
      <c r="E59" s="41" t="s">
        <v>38</v>
      </c>
      <c r="F59" s="41" t="s">
        <v>5</v>
      </c>
      <c r="G59" s="41" t="s">
        <v>272</v>
      </c>
    </row>
    <row r="60" spans="1:8" x14ac:dyDescent="0.2">
      <c r="A60" s="37">
        <v>1</v>
      </c>
      <c r="B60" s="38" t="s">
        <v>271</v>
      </c>
      <c r="C60" s="1">
        <f>IF(COUNTIFS(Podatki!$B$4:$B$75,C$59,Podatki!$H$4:$H$75,$A60)=0,"–",AVERAGEIFS(Podatki!$L$4:$L$75,Podatki!$B$4:$B$75,C$59,Podatki!$H$4:$H$75,$A60))</f>
        <v>3.1111111111111112</v>
      </c>
      <c r="D60" s="1">
        <f>IF(COUNTIFS(Podatki!$B$4:$B$75,D$59,Podatki!$H$4:$H$75,$A60)=0,"–",AVERAGEIFS(Podatki!$L$4:$L$75,Podatki!$B$4:$B$75,D$59,Podatki!$H$4:$H$75,$A60))</f>
        <v>3</v>
      </c>
      <c r="E60" s="1">
        <f>IF(COUNTIFS(Podatki!$B$4:$B$75,E$59,Podatki!$H$4:$H$75,$A60)=0,"–",AVERAGEIFS(Podatki!$L$4:$L$75,Podatki!$B$4:$B$75,E$59,Podatki!$H$4:$H$75,$A60))</f>
        <v>3.2666666666666666</v>
      </c>
      <c r="F60" s="1">
        <f>IF(COUNTIFS(Podatki!$B$4:$B$75,F$59,Podatki!$H$4:$H$75,$A60)=0,"–",AVERAGEIFS(Podatki!$L$4:$L$75,Podatki!$B$4:$B$75,F$59,Podatki!$H$4:$H$75,$A60))</f>
        <v>3</v>
      </c>
      <c r="G60" s="1">
        <f>IF(COUNTIF(Podatki!$H$4:$H$75,$A60)=0,"–",AVERAGEIF(Podatki!$H$4:$H$75,$A60,Podatki!$L$4:$L$75))</f>
        <v>3.1875</v>
      </c>
    </row>
    <row r="61" spans="1:8" x14ac:dyDescent="0.2">
      <c r="A61" s="37">
        <v>2</v>
      </c>
      <c r="B61" s="38" t="s">
        <v>270</v>
      </c>
      <c r="C61" s="1">
        <f>IF(COUNTIFS(Podatki!$B$4:$B$75,C$59,Podatki!$H$4:$H$75,$A61)=0,"–",AVERAGEIFS(Podatki!$L$4:$L$75,Podatki!$B$4:$B$75,C$59,Podatki!$H$4:$H$75,$A61))</f>
        <v>1.916666666666667</v>
      </c>
      <c r="D61" s="1">
        <f>IF(COUNTIFS(Podatki!$B$4:$B$75,D$59,Podatki!$H$4:$H$75,$A61)=0,"–",AVERAGEIFS(Podatki!$L$4:$L$75,Podatki!$B$4:$B$75,D$59,Podatki!$H$4:$H$75,$A61))</f>
        <v>3.3333333333333335</v>
      </c>
      <c r="E61" s="1">
        <f>IF(COUNTIFS(Podatki!$B$4:$B$75,E$59,Podatki!$H$4:$H$75,$A61)=0,"–",AVERAGEIFS(Podatki!$L$4:$L$75,Podatki!$B$4:$B$75,E$59,Podatki!$H$4:$H$75,$A61))</f>
        <v>2.9523809523809521</v>
      </c>
      <c r="F61" s="1">
        <f>IF(COUNTIFS(Podatki!$B$4:$B$75,F$59,Podatki!$H$4:$H$75,$A61)=0,"–",AVERAGEIFS(Podatki!$L$4:$L$75,Podatki!$B$4:$B$75,F$59,Podatki!$H$4:$H$75,$A61))</f>
        <v>2</v>
      </c>
      <c r="G61" s="1">
        <f>IF(COUNTIF(Podatki!$H$4:$H$75,$A61)=0,"–",AVERAGEIF(Podatki!$H$4:$H$75,$A61,Podatki!$L$4:$L$75))</f>
        <v>2.5897435897435903</v>
      </c>
    </row>
    <row r="62" spans="1:8" x14ac:dyDescent="0.2">
      <c r="A62" s="37">
        <v>3</v>
      </c>
      <c r="B62" s="38" t="s">
        <v>269</v>
      </c>
      <c r="C62" s="1">
        <f>IF(COUNTIFS(Podatki!$B$4:$B$75,C$59,Podatki!$H$4:$H$75,$A62)=0,"–",AVERAGEIFS(Podatki!$L$4:$L$75,Podatki!$B$4:$B$75,C$59,Podatki!$H$4:$H$75,$A62))</f>
        <v>2.833333333333333</v>
      </c>
      <c r="D62" s="1" t="str">
        <f>IF(COUNTIFS(Podatki!$B$4:$B$75,D$59,Podatki!$H$4:$H$75,$A62)=0,"–",AVERAGEIFS(Podatki!$L$4:$L$75,Podatki!$B$4:$B$75,D$59,Podatki!$H$4:$H$75,$A62))</f>
        <v>–</v>
      </c>
      <c r="E62" s="1">
        <f>IF(COUNTIFS(Podatki!$B$4:$B$75,E$59,Podatki!$H$4:$H$75,$A62)=0,"–",AVERAGEIFS(Podatki!$L$4:$L$75,Podatki!$B$4:$B$75,E$59,Podatki!$H$4:$H$75,$A62))</f>
        <v>3.833333333333333</v>
      </c>
      <c r="F62" s="1" t="str">
        <f>IF(COUNTIFS(Podatki!$B$4:$B$75,F$59,Podatki!$H$4:$H$75,$A62)=0,"–",AVERAGEIFS(Podatki!$L$4:$L$75,Podatki!$B$4:$B$75,F$59,Podatki!$H$4:$H$75,$A62))</f>
        <v>–</v>
      </c>
      <c r="G62" s="1">
        <f>IF(COUNTIF(Podatki!$H$4:$H$75,$A62)=0,"–",AVERAGEIF(Podatki!$H$4:$H$75,$A62,Podatki!$L$4:$L$75))</f>
        <v>3.333333333333333</v>
      </c>
    </row>
    <row r="63" spans="1:8" x14ac:dyDescent="0.2">
      <c r="A63" s="37">
        <v>4</v>
      </c>
      <c r="B63" s="38" t="s">
        <v>268</v>
      </c>
      <c r="C63" s="1">
        <f>IF(COUNTIFS(Podatki!$B$4:$B$75,C$59,Podatki!$H$4:$H$75,$A63)=0,"–",AVERAGEIFS(Podatki!$L$4:$L$75,Podatki!$B$4:$B$75,C$59,Podatki!$H$4:$H$75,$A63))</f>
        <v>2.6666666666666665</v>
      </c>
      <c r="D63" s="1">
        <f>IF(COUNTIFS(Podatki!$B$4:$B$75,D$59,Podatki!$H$4:$H$75,$A63)=0,"–",AVERAGEIFS(Podatki!$L$4:$L$75,Podatki!$B$4:$B$75,D$59,Podatki!$H$4:$H$75,$A63))</f>
        <v>1.3333333333333333</v>
      </c>
      <c r="E63" s="1">
        <f>IF(COUNTIFS(Podatki!$B$4:$B$75,E$59,Podatki!$H$4:$H$75,$A63)=0,"–",AVERAGEIFS(Podatki!$L$4:$L$75,Podatki!$B$4:$B$75,E$59,Podatki!$H$4:$H$75,$A63))</f>
        <v>3.0740740740740744</v>
      </c>
      <c r="F63" s="1">
        <f>IF(COUNTIFS(Podatki!$B$4:$B$75,F$59,Podatki!$H$4:$H$75,$A63)=0,"–",AVERAGEIFS(Podatki!$L$4:$L$75,Podatki!$B$4:$B$75,F$59,Podatki!$H$4:$H$75,$A63))</f>
        <v>3.1333333333333333</v>
      </c>
      <c r="G63" s="1">
        <f>IF(COUNTIF(Podatki!$H$4:$H$75,$A63)=0,"–",AVERAGEIF(Podatki!$H$4:$H$75,$A63,Podatki!$L$4:$L$75))</f>
        <v>2.8888888888888884</v>
      </c>
    </row>
    <row r="64" spans="1:8" x14ac:dyDescent="0.2">
      <c r="A64" s="37">
        <v>5</v>
      </c>
      <c r="B64" s="38" t="s">
        <v>267</v>
      </c>
      <c r="C64" s="1">
        <f>IF(COUNTIFS(Podatki!$B$4:$B$75,C$59,Podatki!$H$4:$H$75,$A64)=0,"–",AVERAGEIFS(Podatki!$L$4:$L$75,Podatki!$B$4:$B$75,C$59,Podatki!$H$4:$H$75,$A64))</f>
        <v>2.3333333333333335</v>
      </c>
      <c r="D64" s="1" t="str">
        <f>IF(COUNTIFS(Podatki!$B$4:$B$75,D$59,Podatki!$H$4:$H$75,$A64)=0,"–",AVERAGEIFS(Podatki!$L$4:$L$75,Podatki!$B$4:$B$75,D$59,Podatki!$H$4:$H$75,$A64))</f>
        <v>–</v>
      </c>
      <c r="E64" s="1" t="str">
        <f>IF(COUNTIFS(Podatki!$B$4:$B$75,E$59,Podatki!$H$4:$H$75,$A64)=0,"–",AVERAGEIFS(Podatki!$L$4:$L$75,Podatki!$B$4:$B$75,E$59,Podatki!$H$4:$H$75,$A64))</f>
        <v>–</v>
      </c>
      <c r="F64" s="1" t="str">
        <f>IF(COUNTIFS(Podatki!$B$4:$B$75,F$59,Podatki!$H$4:$H$75,$A64)=0,"–",AVERAGEIFS(Podatki!$L$4:$L$75,Podatki!$B$4:$B$75,F$59,Podatki!$H$4:$H$75,$A64))</f>
        <v>–</v>
      </c>
      <c r="G64" s="1">
        <f>IF(COUNTIF(Podatki!$H$4:$H$75,$A64)=0,"–",AVERAGEIF(Podatki!$H$4:$H$75,$A64,Podatki!$L$4:$L$75))</f>
        <v>2.3333333333333335</v>
      </c>
    </row>
    <row r="65" spans="1:7" x14ac:dyDescent="0.2">
      <c r="A65" s="37">
        <v>6</v>
      </c>
      <c r="B65" s="38" t="s">
        <v>266</v>
      </c>
      <c r="C65" s="1">
        <f>IF(COUNTIFS(Podatki!$B$4:$B$75,C$59,Podatki!$H$4:$H$75,$A65)=0,"–",AVERAGEIFS(Podatki!$L$4:$L$75,Podatki!$B$4:$B$75,C$59,Podatki!$H$4:$H$75,$A65))</f>
        <v>3</v>
      </c>
      <c r="D65" s="1">
        <f>IF(COUNTIFS(Podatki!$B$4:$B$75,D$59,Podatki!$H$4:$H$75,$A65)=0,"–",AVERAGEIFS(Podatki!$L$4:$L$75,Podatki!$B$4:$B$75,D$59,Podatki!$H$4:$H$75,$A65))</f>
        <v>2.833333333333333</v>
      </c>
      <c r="E65" s="1" t="str">
        <f>IF(COUNTIFS(Podatki!$B$4:$B$75,E$59,Podatki!$H$4:$H$75,$A65)=0,"–",AVERAGEIFS(Podatki!$L$4:$L$75,Podatki!$B$4:$B$75,E$59,Podatki!$H$4:$H$75,$A65))</f>
        <v>–</v>
      </c>
      <c r="F65" s="1" t="str">
        <f>IF(COUNTIFS(Podatki!$B$4:$B$75,F$59,Podatki!$H$4:$H$75,$A65)=0,"–",AVERAGEIFS(Podatki!$L$4:$L$75,Podatki!$B$4:$B$75,F$59,Podatki!$H$4:$H$75,$A65))</f>
        <v>–</v>
      </c>
      <c r="G65" s="1">
        <f>IF(COUNTIF(Podatki!$H$4:$H$75,$A65)=0,"–",AVERAGEIF(Podatki!$H$4:$H$75,$A65,Podatki!$L$4:$L$75))</f>
        <v>2.8888888888888888</v>
      </c>
    </row>
    <row r="66" spans="1:7" x14ac:dyDescent="0.2">
      <c r="A66" s="37">
        <v>7</v>
      </c>
      <c r="B66" s="38" t="s">
        <v>265</v>
      </c>
      <c r="C66" s="1" t="str">
        <f>IF(COUNTIFS(Podatki!$B$4:$B$75,C$59,Podatki!$H$4:$H$75,$A66)=0,"–",AVERAGEIFS(Podatki!$L$4:$L$75,Podatki!$B$4:$B$75,C$59,Podatki!$H$4:$H$75,$A66))</f>
        <v>–</v>
      </c>
      <c r="D66" s="1" t="str">
        <f>IF(COUNTIFS(Podatki!$B$4:$B$75,D$59,Podatki!$H$4:$H$75,$A66)=0,"–",AVERAGEIFS(Podatki!$L$4:$L$75,Podatki!$B$4:$B$75,D$59,Podatki!$H$4:$H$75,$A66))</f>
        <v>–</v>
      </c>
      <c r="E66" s="1" t="str">
        <f>IF(COUNTIFS(Podatki!$B$4:$B$75,E$59,Podatki!$H$4:$H$75,$A66)=0,"–",AVERAGEIFS(Podatki!$L$4:$L$75,Podatki!$B$4:$B$75,E$59,Podatki!$H$4:$H$75,$A66))</f>
        <v>–</v>
      </c>
      <c r="F66" s="1" t="str">
        <f>IF(COUNTIFS(Podatki!$B$4:$B$75,F$59,Podatki!$H$4:$H$75,$A66)=0,"–",AVERAGEIFS(Podatki!$L$4:$L$75,Podatki!$B$4:$B$75,F$59,Podatki!$H$4:$H$75,$A66))</f>
        <v>–</v>
      </c>
      <c r="G66" s="1" t="str">
        <f>IF(COUNTIF(Podatki!$H$4:$H$75,$A66)=0,"–",AVERAGEIF(Podatki!$H$4:$H$75,$A66,Podatki!$L$4:$L$75))</f>
        <v>–</v>
      </c>
    </row>
    <row r="67" spans="1:7" x14ac:dyDescent="0.2">
      <c r="A67" s="37">
        <v>8</v>
      </c>
      <c r="B67" s="38" t="s">
        <v>264</v>
      </c>
      <c r="C67" s="1">
        <f>IF(COUNTIFS(Podatki!$B$4:$B$75,C$59,Podatki!$H$4:$H$75,$A67)=0,"–",AVERAGEIFS(Podatki!$L$4:$L$75,Podatki!$B$4:$B$75,C$59,Podatki!$H$4:$H$75,$A67))</f>
        <v>1.8333333333333335</v>
      </c>
      <c r="D67" s="1" t="str">
        <f>IF(COUNTIFS(Podatki!$B$4:$B$75,D$59,Podatki!$H$4:$H$75,$A67)=0,"–",AVERAGEIFS(Podatki!$L$4:$L$75,Podatki!$B$4:$B$75,D$59,Podatki!$H$4:$H$75,$A67))</f>
        <v>–</v>
      </c>
      <c r="E67" s="1">
        <f>IF(COUNTIFS(Podatki!$B$4:$B$75,E$59,Podatki!$H$4:$H$75,$A67)=0,"–",AVERAGEIFS(Podatki!$L$4:$L$75,Podatki!$B$4:$B$75,E$59,Podatki!$H$4:$H$75,$A67))</f>
        <v>3.1904761904761902</v>
      </c>
      <c r="F67" s="1" t="str">
        <f>IF(COUNTIFS(Podatki!$B$4:$B$75,F$59,Podatki!$H$4:$H$75,$A67)=0,"–",AVERAGEIFS(Podatki!$L$4:$L$75,Podatki!$B$4:$B$75,F$59,Podatki!$H$4:$H$75,$A67))</f>
        <v>–</v>
      </c>
      <c r="G67" s="1">
        <f>IF(COUNTIF(Podatki!$H$4:$H$75,$A67)=0,"–",AVERAGEIF(Podatki!$H$4:$H$75,$A67,Podatki!$L$4:$L$75))</f>
        <v>2.6969696969696972</v>
      </c>
    </row>
    <row r="68" spans="1:7" x14ac:dyDescent="0.2">
      <c r="A68" s="37">
        <v>9</v>
      </c>
      <c r="B68" s="38" t="s">
        <v>263</v>
      </c>
      <c r="C68" s="1" t="str">
        <f>IF(COUNTIFS(Podatki!$B$4:$B$75,C$59,Podatki!$H$4:$H$75,$A68)=0,"–",AVERAGEIFS(Podatki!$L$4:$L$75,Podatki!$B$4:$B$75,C$59,Podatki!$H$4:$H$75,$A68))</f>
        <v>–</v>
      </c>
      <c r="D68" s="1" t="str">
        <f>IF(COUNTIFS(Podatki!$B$4:$B$75,D$59,Podatki!$H$4:$H$75,$A68)=0,"–",AVERAGEIFS(Podatki!$L$4:$L$75,Podatki!$B$4:$B$75,D$59,Podatki!$H$4:$H$75,$A68))</f>
        <v>–</v>
      </c>
      <c r="E68" s="1" t="str">
        <f>IF(COUNTIFS(Podatki!$B$4:$B$75,E$59,Podatki!$H$4:$H$75,$A68)=0,"–",AVERAGEIFS(Podatki!$L$4:$L$75,Podatki!$B$4:$B$75,E$59,Podatki!$H$4:$H$75,$A68))</f>
        <v>–</v>
      </c>
      <c r="F68" s="1" t="str">
        <f>IF(COUNTIFS(Podatki!$B$4:$B$75,F$59,Podatki!$H$4:$H$75,$A68)=0,"–",AVERAGEIFS(Podatki!$L$4:$L$75,Podatki!$B$4:$B$75,F$59,Podatki!$H$4:$H$75,$A68))</f>
        <v>–</v>
      </c>
      <c r="G68" s="1" t="str">
        <f>IF(COUNTIF(Podatki!$H$4:$H$75,$A68)=0,"–",AVERAGEIF(Podatki!$H$4:$H$75,$A68,Podatki!$L$4:$L$75))</f>
        <v>–</v>
      </c>
    </row>
    <row r="69" spans="1:7" x14ac:dyDescent="0.2">
      <c r="A69" s="37">
        <v>10</v>
      </c>
      <c r="B69" s="38" t="s">
        <v>262</v>
      </c>
      <c r="C69" s="1" t="str">
        <f>IF(COUNTIFS(Podatki!$B$4:$B$75,C$59,Podatki!$H$4:$H$75,$A69)=0,"–",AVERAGEIFS(Podatki!$L$4:$L$75,Podatki!$B$4:$B$75,C$59,Podatki!$H$4:$H$75,$A69))</f>
        <v>–</v>
      </c>
      <c r="D69" s="1">
        <f>IF(COUNTIFS(Podatki!$B$4:$B$75,D$59,Podatki!$H$4:$H$75,$A69)=0,"–",AVERAGEIFS(Podatki!$L$4:$L$75,Podatki!$B$4:$B$75,D$59,Podatki!$H$4:$H$75,$A69))</f>
        <v>3</v>
      </c>
      <c r="E69" s="1">
        <f>IF(COUNTIFS(Podatki!$B$4:$B$75,E$59,Podatki!$H$4:$H$75,$A69)=0,"–",AVERAGEIFS(Podatki!$L$4:$L$75,Podatki!$B$4:$B$75,E$59,Podatki!$H$4:$H$75,$A69))</f>
        <v>2.3333333333333335</v>
      </c>
      <c r="F69" s="1">
        <f>IF(COUNTIFS(Podatki!$B$4:$B$75,F$59,Podatki!$H$4:$H$75,$A69)=0,"–",AVERAGEIFS(Podatki!$L$4:$L$75,Podatki!$B$4:$B$75,F$59,Podatki!$H$4:$H$75,$A69))</f>
        <v>4</v>
      </c>
      <c r="G69" s="1">
        <f>IF(COUNTIF(Podatki!$H$4:$H$75,$A69)=0,"–",AVERAGEIF(Podatki!$H$4:$H$75,$A69,Podatki!$L$4:$L$75))</f>
        <v>3.1111111111111112</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4583D-99BC-4F45-8B33-184195A612C2}">
  <dimension ref="A1:G71"/>
  <sheetViews>
    <sheetView topLeftCell="A46" zoomScaleNormal="100" workbookViewId="0">
      <selection activeCell="G59" sqref="G59"/>
    </sheetView>
  </sheetViews>
  <sheetFormatPr baseColWidth="10" defaultColWidth="8.6640625" defaultRowHeight="15" x14ac:dyDescent="0.2"/>
  <cols>
    <col min="1" max="1" width="42" style="1" customWidth="1"/>
    <col min="2" max="5" width="16" style="1" customWidth="1"/>
    <col min="6" max="16384" width="8.6640625" style="1"/>
  </cols>
  <sheetData>
    <row r="1" spans="1:7" ht="19" x14ac:dyDescent="0.25">
      <c r="A1" s="6" t="s">
        <v>292</v>
      </c>
      <c r="B1" s="13"/>
      <c r="C1" s="13"/>
      <c r="D1" s="13"/>
      <c r="E1" s="13"/>
      <c r="F1" s="13"/>
      <c r="G1" s="4"/>
    </row>
    <row r="2" spans="1:7" x14ac:dyDescent="0.2">
      <c r="A2" s="26" t="s">
        <v>291</v>
      </c>
      <c r="B2" s="13"/>
      <c r="C2" s="13"/>
      <c r="D2" s="13"/>
      <c r="E2" s="13"/>
      <c r="F2" s="13"/>
      <c r="G2" s="4"/>
    </row>
    <row r="3" spans="1:7" x14ac:dyDescent="0.2">
      <c r="A3" s="13"/>
      <c r="B3" s="13"/>
      <c r="C3" s="13"/>
      <c r="D3" s="13"/>
      <c r="E3" s="13"/>
      <c r="F3" s="13"/>
      <c r="G3" s="4"/>
    </row>
    <row r="4" spans="1:7" ht="19" x14ac:dyDescent="0.25">
      <c r="A4" s="43" t="s">
        <v>290</v>
      </c>
      <c r="B4" s="44"/>
      <c r="C4" s="44"/>
      <c r="D4" s="44"/>
      <c r="E4" s="13"/>
      <c r="F4" s="13"/>
      <c r="G4" s="4"/>
    </row>
    <row r="5" spans="1:7" x14ac:dyDescent="0.2">
      <c r="A5" s="26" t="s">
        <v>286</v>
      </c>
      <c r="B5" s="26">
        <f>COUNTIFS(Podatki!$B$4:$B$75,"A",Podatki!$M$4:$M$75,1)</f>
        <v>21</v>
      </c>
      <c r="C5" s="13"/>
      <c r="D5" s="13"/>
      <c r="E5" s="13"/>
      <c r="F5" s="13"/>
      <c r="G5" s="4"/>
    </row>
    <row r="6" spans="1:7" x14ac:dyDescent="0.2">
      <c r="A6" s="26" t="s">
        <v>285</v>
      </c>
      <c r="B6" s="28">
        <f>3*(B5+1)/2</f>
        <v>33</v>
      </c>
      <c r="C6" s="13"/>
      <c r="D6" s="13"/>
      <c r="E6" s="13"/>
      <c r="F6" s="13"/>
      <c r="G6" s="4"/>
    </row>
    <row r="7" spans="1:7" x14ac:dyDescent="0.2">
      <c r="A7" s="26" t="s">
        <v>284</v>
      </c>
      <c r="B7" s="28">
        <f>SUMPRODUCT((Podatki!$B$4:$B$75="A")*(Podatki!$M$4:$M$75=1)*(Podatki!$Q$4:$Q$75-B6)^2)</f>
        <v>3156.5</v>
      </c>
      <c r="C7" s="13"/>
      <c r="D7" s="13"/>
      <c r="E7" s="13"/>
      <c r="F7" s="13"/>
      <c r="G7" s="4"/>
    </row>
    <row r="8" spans="1:7" x14ac:dyDescent="0.2">
      <c r="A8" s="27" t="s">
        <v>283</v>
      </c>
      <c r="B8" s="13"/>
      <c r="C8" s="13"/>
      <c r="D8" s="13"/>
      <c r="E8" s="13"/>
      <c r="F8" s="13"/>
      <c r="G8" s="4"/>
    </row>
    <row r="9" spans="1:7" ht="19" x14ac:dyDescent="0.25">
      <c r="A9" s="43" t="s">
        <v>282</v>
      </c>
      <c r="B9" s="45" t="s">
        <v>227</v>
      </c>
      <c r="C9" s="45" t="s">
        <v>226</v>
      </c>
      <c r="D9" s="45" t="s">
        <v>225</v>
      </c>
      <c r="E9" s="13"/>
      <c r="F9" s="13"/>
      <c r="G9" s="4"/>
    </row>
    <row r="10" spans="1:7" x14ac:dyDescent="0.2">
      <c r="A10" s="26">
        <v>0</v>
      </c>
      <c r="B10" s="26">
        <f>COUNTIFS(Podatki!$B$4:$B$75,"A",Podatki!$M$4:$M$75,1,Podatki!$I$4:$I$75,0)^3-COUNTIFS(Podatki!$B$4:$B$75,"A",Podatki!$M$4:$M$75,1,Podatki!$I$4:$I$75,0)</f>
        <v>0</v>
      </c>
      <c r="C10" s="26">
        <f>COUNTIFS(Podatki!$B$4:$B$75,"A",Podatki!$M$4:$M$75,1,Podatki!$J$4:$J$75,0)^3-COUNTIFS(Podatki!$B$4:$B$75,"A",Podatki!$M$4:$M$75,1,Podatki!$J$4:$J$75,0)</f>
        <v>0</v>
      </c>
      <c r="D10" s="26">
        <f>COUNTIFS(Podatki!$B$4:$B$75,"A",Podatki!$M$4:$M$75,1,Podatki!$K$4:$K$75,0)^3-COUNTIFS(Podatki!$B$4:$B$75,"A",Podatki!$M$4:$M$75,1,Podatki!$K$4:$K$75,0)</f>
        <v>6</v>
      </c>
      <c r="E10" s="13"/>
      <c r="F10" s="13"/>
      <c r="G10" s="4"/>
    </row>
    <row r="11" spans="1:7" x14ac:dyDescent="0.2">
      <c r="A11" s="26">
        <v>1</v>
      </c>
      <c r="B11" s="26">
        <f>COUNTIFS(Podatki!$B$4:$B$75,"A",Podatki!$M$4:$M$75,1,Podatki!$I$4:$I$75,1)^3-COUNTIFS(Podatki!$B$4:$B$75,"A",Podatki!$M$4:$M$75,1,Podatki!$I$4:$I$75,1)</f>
        <v>6</v>
      </c>
      <c r="C11" s="26">
        <f>COUNTIFS(Podatki!$B$4:$B$75,"A",Podatki!$M$4:$M$75,1,Podatki!$J$4:$J$75,1)^3-COUNTIFS(Podatki!$B$4:$B$75,"A",Podatki!$M$4:$M$75,1,Podatki!$J$4:$J$75,1)</f>
        <v>6</v>
      </c>
      <c r="D11" s="26">
        <f>COUNTIFS(Podatki!$B$4:$B$75,"A",Podatki!$M$4:$M$75,1,Podatki!$K$4:$K$75,1)^3-COUNTIFS(Podatki!$B$4:$B$75,"A",Podatki!$M$4:$M$75,1,Podatki!$K$4:$K$75,1)</f>
        <v>336</v>
      </c>
      <c r="E11" s="13"/>
      <c r="F11" s="13"/>
      <c r="G11" s="4"/>
    </row>
    <row r="12" spans="1:7" x14ac:dyDescent="0.2">
      <c r="A12" s="26">
        <v>2</v>
      </c>
      <c r="B12" s="26">
        <f>COUNTIFS(Podatki!$B$4:$B$75,"A",Podatki!$M$4:$M$75,1,Podatki!$I$4:$I$75,2)^3-COUNTIFS(Podatki!$B$4:$B$75,"A",Podatki!$M$4:$M$75,1,Podatki!$I$4:$I$75,2)</f>
        <v>210</v>
      </c>
      <c r="C12" s="26">
        <f>COUNTIFS(Podatki!$B$4:$B$75,"A",Podatki!$M$4:$M$75,1,Podatki!$J$4:$J$75,2)^3-COUNTIFS(Podatki!$B$4:$B$75,"A",Podatki!$M$4:$M$75,1,Podatki!$J$4:$J$75,2)</f>
        <v>210</v>
      </c>
      <c r="D12" s="26">
        <f>COUNTIFS(Podatki!$B$4:$B$75,"A",Podatki!$M$4:$M$75,1,Podatki!$K$4:$K$75,2)^3-COUNTIFS(Podatki!$B$4:$B$75,"A",Podatki!$M$4:$M$75,1,Podatki!$K$4:$K$75,2)</f>
        <v>336</v>
      </c>
      <c r="E12" s="13"/>
      <c r="F12" s="13"/>
      <c r="G12" s="4"/>
    </row>
    <row r="13" spans="1:7" x14ac:dyDescent="0.2">
      <c r="A13" s="26">
        <v>3</v>
      </c>
      <c r="B13" s="26">
        <f>COUNTIFS(Podatki!$B$4:$B$75,"A",Podatki!$M$4:$M$75,1,Podatki!$I$4:$I$75,3)^3-COUNTIFS(Podatki!$B$4:$B$75,"A",Podatki!$M$4:$M$75,1,Podatki!$I$4:$I$75,3)</f>
        <v>336</v>
      </c>
      <c r="C13" s="26">
        <f>COUNTIFS(Podatki!$B$4:$B$75,"A",Podatki!$M$4:$M$75,1,Podatki!$J$4:$J$75,3)^3-COUNTIFS(Podatki!$B$4:$B$75,"A",Podatki!$M$4:$M$75,1,Podatki!$J$4:$J$75,3)</f>
        <v>720</v>
      </c>
      <c r="D13" s="26">
        <f>COUNTIFS(Podatki!$B$4:$B$75,"A",Podatki!$M$4:$M$75,1,Podatki!$K$4:$K$75,3)^3-COUNTIFS(Podatki!$B$4:$B$75,"A",Podatki!$M$4:$M$75,1,Podatki!$K$4:$K$75,3)</f>
        <v>24</v>
      </c>
      <c r="E13" s="13"/>
      <c r="F13" s="13"/>
      <c r="G13" s="4"/>
    </row>
    <row r="14" spans="1:7" x14ac:dyDescent="0.2">
      <c r="A14" s="26">
        <v>4</v>
      </c>
      <c r="B14" s="26">
        <f>COUNTIFS(Podatki!$B$4:$B$75,"A",Podatki!$M$4:$M$75,1,Podatki!$I$4:$I$75,4)^3-COUNTIFS(Podatki!$B$4:$B$75,"A",Podatki!$M$4:$M$75,1,Podatki!$I$4:$I$75,4)</f>
        <v>210</v>
      </c>
      <c r="C14" s="26">
        <f>COUNTIFS(Podatki!$B$4:$B$75,"A",Podatki!$M$4:$M$75,1,Podatki!$J$4:$J$75,4)^3-COUNTIFS(Podatki!$B$4:$B$75,"A",Podatki!$M$4:$M$75,1,Podatki!$J$4:$J$75,4)</f>
        <v>60</v>
      </c>
      <c r="D14" s="26">
        <f>COUNTIFS(Podatki!$B$4:$B$75,"A",Podatki!$M$4:$M$75,1,Podatki!$K$4:$K$75,4)^3-COUNTIFS(Podatki!$B$4:$B$75,"A",Podatki!$M$4:$M$75,1,Podatki!$K$4:$K$75,4)</f>
        <v>6</v>
      </c>
      <c r="E14" s="13"/>
      <c r="F14" s="13"/>
      <c r="G14" s="4"/>
    </row>
    <row r="15" spans="1:7" x14ac:dyDescent="0.2">
      <c r="A15" s="26" t="s">
        <v>281</v>
      </c>
      <c r="B15" s="26">
        <f>SUM(B10:D14)</f>
        <v>2466</v>
      </c>
      <c r="C15" s="13"/>
      <c r="D15" s="13"/>
      <c r="E15" s="13"/>
      <c r="F15" s="13"/>
      <c r="G15" s="4"/>
    </row>
    <row r="16" spans="1:7" x14ac:dyDescent="0.2">
      <c r="A16" s="14" t="s">
        <v>279</v>
      </c>
      <c r="B16" s="29">
        <f>IF(B5&lt;2,"",12*B7/(9*(B5^3-B5)-3*B15))</f>
        <v>0.49996040231250494</v>
      </c>
      <c r="C16" s="13"/>
      <c r="D16" s="13"/>
      <c r="E16" s="13"/>
      <c r="F16" s="13"/>
      <c r="G16" s="4"/>
    </row>
    <row r="17" spans="1:7" x14ac:dyDescent="0.2">
      <c r="A17" s="13"/>
      <c r="B17" s="13"/>
      <c r="C17" s="13"/>
      <c r="D17" s="13"/>
      <c r="E17" s="13"/>
      <c r="F17" s="13"/>
      <c r="G17" s="4"/>
    </row>
    <row r="18" spans="1:7" x14ac:dyDescent="0.2">
      <c r="A18" s="13"/>
      <c r="B18" s="13"/>
      <c r="C18" s="13"/>
      <c r="D18" s="13"/>
      <c r="E18" s="13"/>
      <c r="F18" s="13"/>
      <c r="G18" s="4"/>
    </row>
    <row r="19" spans="1:7" ht="19" x14ac:dyDescent="0.25">
      <c r="A19" s="43" t="s">
        <v>289</v>
      </c>
      <c r="B19" s="44"/>
      <c r="C19" s="44"/>
      <c r="D19" s="44"/>
      <c r="E19" s="13"/>
      <c r="F19" s="13"/>
      <c r="G19" s="4"/>
    </row>
    <row r="20" spans="1:7" x14ac:dyDescent="0.2">
      <c r="A20" s="26" t="s">
        <v>286</v>
      </c>
      <c r="B20" s="26">
        <f>COUNTIFS(Podatki!$B$4:$B$75,"B",Podatki!$M$4:$M$75,1)</f>
        <v>6</v>
      </c>
      <c r="C20" s="13"/>
      <c r="D20" s="13"/>
      <c r="E20" s="13"/>
      <c r="F20" s="13"/>
      <c r="G20" s="4"/>
    </row>
    <row r="21" spans="1:7" x14ac:dyDescent="0.2">
      <c r="A21" s="26" t="s">
        <v>285</v>
      </c>
      <c r="B21" s="28">
        <f>3*(B20+1)/2</f>
        <v>10.5</v>
      </c>
      <c r="C21" s="13"/>
      <c r="D21" s="13"/>
      <c r="E21" s="13"/>
      <c r="F21" s="13"/>
      <c r="G21" s="4"/>
    </row>
    <row r="22" spans="1:7" x14ac:dyDescent="0.2">
      <c r="A22" s="26" t="s">
        <v>284</v>
      </c>
      <c r="B22" s="28">
        <f>SUMPRODUCT((Podatki!$B$4:$B$75="B")*(Podatki!$M$4:$M$75=1)*(Podatki!$Q$4:$Q$75-B21)^2)</f>
        <v>66</v>
      </c>
      <c r="C22" s="13"/>
      <c r="D22" s="13"/>
      <c r="E22" s="13"/>
      <c r="F22" s="13"/>
      <c r="G22" s="4"/>
    </row>
    <row r="23" spans="1:7" x14ac:dyDescent="0.2">
      <c r="A23" s="27" t="s">
        <v>283</v>
      </c>
      <c r="B23" s="13"/>
      <c r="C23" s="13"/>
      <c r="D23" s="13"/>
      <c r="E23" s="13"/>
      <c r="F23" s="13"/>
      <c r="G23" s="4"/>
    </row>
    <row r="24" spans="1:7" ht="19" x14ac:dyDescent="0.25">
      <c r="A24" s="43" t="s">
        <v>282</v>
      </c>
      <c r="B24" s="45" t="s">
        <v>227</v>
      </c>
      <c r="C24" s="45" t="s">
        <v>226</v>
      </c>
      <c r="D24" s="45" t="s">
        <v>225</v>
      </c>
      <c r="E24" s="13"/>
      <c r="F24" s="13"/>
      <c r="G24" s="4"/>
    </row>
    <row r="25" spans="1:7" x14ac:dyDescent="0.2">
      <c r="A25" s="26">
        <v>0</v>
      </c>
      <c r="B25" s="26">
        <f>COUNTIFS(Podatki!$B$4:$B$75,"B",Podatki!$M$4:$M$75,1,Podatki!$I$4:$I$75,0)^3-COUNTIFS(Podatki!$B$4:$B$75,"B",Podatki!$M$4:$M$75,1,Podatki!$I$4:$I$75,0)</f>
        <v>0</v>
      </c>
      <c r="C25" s="26">
        <f>COUNTIFS(Podatki!$B$4:$B$75,"B",Podatki!$M$4:$M$75,1,Podatki!$J$4:$J$75,0)^3-COUNTIFS(Podatki!$B$4:$B$75,"B",Podatki!$M$4:$M$75,1,Podatki!$J$4:$J$75,0)</f>
        <v>0</v>
      </c>
      <c r="D25" s="26">
        <f>COUNTIFS(Podatki!$B$4:$B$75,"B",Podatki!$M$4:$M$75,1,Podatki!$K$4:$K$75,0)^3-COUNTIFS(Podatki!$B$4:$B$75,"B",Podatki!$M$4:$M$75,1,Podatki!$K$4:$K$75,0)</f>
        <v>0</v>
      </c>
      <c r="E25" s="13"/>
      <c r="F25" s="13"/>
      <c r="G25" s="4"/>
    </row>
    <row r="26" spans="1:7" x14ac:dyDescent="0.2">
      <c r="A26" s="26">
        <v>1</v>
      </c>
      <c r="B26" s="26">
        <f>COUNTIFS(Podatki!$B$4:$B$75,"B",Podatki!$M$4:$M$75,1,Podatki!$I$4:$I$75,1)^3-COUNTIFS(Podatki!$B$4:$B$75,"B",Podatki!$M$4:$M$75,1,Podatki!$I$4:$I$75,1)</f>
        <v>0</v>
      </c>
      <c r="C26" s="26">
        <f>COUNTIFS(Podatki!$B$4:$B$75,"B",Podatki!$M$4:$M$75,1,Podatki!$J$4:$J$75,1)^3-COUNTIFS(Podatki!$B$4:$B$75,"B",Podatki!$M$4:$M$75,1,Podatki!$J$4:$J$75,1)</f>
        <v>6</v>
      </c>
      <c r="D26" s="26">
        <f>COUNTIFS(Podatki!$B$4:$B$75,"B",Podatki!$M$4:$M$75,1,Podatki!$K$4:$K$75,1)^3-COUNTIFS(Podatki!$B$4:$B$75,"B",Podatki!$M$4:$M$75,1,Podatki!$K$4:$K$75,1)</f>
        <v>0</v>
      </c>
      <c r="E26" s="13"/>
      <c r="F26" s="13"/>
      <c r="G26" s="4"/>
    </row>
    <row r="27" spans="1:7" x14ac:dyDescent="0.2">
      <c r="A27" s="26">
        <v>2</v>
      </c>
      <c r="B27" s="26">
        <f>COUNTIFS(Podatki!$B$4:$B$75,"B",Podatki!$M$4:$M$75,1,Podatki!$I$4:$I$75,2)^3-COUNTIFS(Podatki!$B$4:$B$75,"B",Podatki!$M$4:$M$75,1,Podatki!$I$4:$I$75,2)</f>
        <v>24</v>
      </c>
      <c r="C27" s="26">
        <f>COUNTIFS(Podatki!$B$4:$B$75,"B",Podatki!$M$4:$M$75,1,Podatki!$J$4:$J$75,2)^3-COUNTIFS(Podatki!$B$4:$B$75,"B",Podatki!$M$4:$M$75,1,Podatki!$J$4:$J$75,2)</f>
        <v>0</v>
      </c>
      <c r="D27" s="26">
        <f>COUNTIFS(Podatki!$B$4:$B$75,"B",Podatki!$M$4:$M$75,1,Podatki!$K$4:$K$75,2)^3-COUNTIFS(Podatki!$B$4:$B$75,"B",Podatki!$M$4:$M$75,1,Podatki!$K$4:$K$75,2)</f>
        <v>0</v>
      </c>
      <c r="E27" s="13"/>
      <c r="F27" s="13"/>
      <c r="G27" s="4"/>
    </row>
    <row r="28" spans="1:7" x14ac:dyDescent="0.2">
      <c r="A28" s="26">
        <v>3</v>
      </c>
      <c r="B28" s="26">
        <f>COUNTIFS(Podatki!$B$4:$B$75,"B",Podatki!$M$4:$M$75,1,Podatki!$I$4:$I$75,3)^3-COUNTIFS(Podatki!$B$4:$B$75,"B",Podatki!$M$4:$M$75,1,Podatki!$I$4:$I$75,3)</f>
        <v>0</v>
      </c>
      <c r="C28" s="26">
        <f>COUNTIFS(Podatki!$B$4:$B$75,"B",Podatki!$M$4:$M$75,1,Podatki!$J$4:$J$75,3)^3-COUNTIFS(Podatki!$B$4:$B$75,"B",Podatki!$M$4:$M$75,1,Podatki!$J$4:$J$75,3)</f>
        <v>6</v>
      </c>
      <c r="D28" s="26">
        <f>COUNTIFS(Podatki!$B$4:$B$75,"B",Podatki!$M$4:$M$75,1,Podatki!$K$4:$K$75,3)^3-COUNTIFS(Podatki!$B$4:$B$75,"B",Podatki!$M$4:$M$75,1,Podatki!$K$4:$K$75,3)</f>
        <v>0</v>
      </c>
      <c r="E28" s="13"/>
      <c r="F28" s="13"/>
      <c r="G28" s="4"/>
    </row>
    <row r="29" spans="1:7" x14ac:dyDescent="0.2">
      <c r="A29" s="26">
        <v>4</v>
      </c>
      <c r="B29" s="26">
        <f>COUNTIFS(Podatki!$B$4:$B$75,"B",Podatki!$M$4:$M$75,1,Podatki!$I$4:$I$75,4)^3-COUNTIFS(Podatki!$B$4:$B$75,"B",Podatki!$M$4:$M$75,1,Podatki!$I$4:$I$75,4)</f>
        <v>0</v>
      </c>
      <c r="C29" s="26">
        <f>COUNTIFS(Podatki!$B$4:$B$75,"B",Podatki!$M$4:$M$75,1,Podatki!$J$4:$J$75,4)^3-COUNTIFS(Podatki!$B$4:$B$75,"B",Podatki!$M$4:$M$75,1,Podatki!$J$4:$J$75,4)</f>
        <v>0</v>
      </c>
      <c r="D29" s="26">
        <f>COUNTIFS(Podatki!$B$4:$B$75,"B",Podatki!$M$4:$M$75,1,Podatki!$K$4:$K$75,4)^3-COUNTIFS(Podatki!$B$4:$B$75,"B",Podatki!$M$4:$M$75,1,Podatki!$K$4:$K$75,4)</f>
        <v>60</v>
      </c>
      <c r="E29" s="13"/>
      <c r="F29" s="13"/>
      <c r="G29" s="4"/>
    </row>
    <row r="30" spans="1:7" x14ac:dyDescent="0.2">
      <c r="A30" s="26" t="s">
        <v>281</v>
      </c>
      <c r="B30" s="26">
        <f>SUM(B25:D29)</f>
        <v>96</v>
      </c>
      <c r="C30" s="13"/>
      <c r="D30" s="13"/>
      <c r="E30" s="13"/>
      <c r="F30" s="13"/>
      <c r="G30" s="4"/>
    </row>
    <row r="31" spans="1:7" x14ac:dyDescent="0.2">
      <c r="A31" s="14" t="s">
        <v>279</v>
      </c>
      <c r="B31" s="29">
        <f>IF(B20&lt;2,"",12*B22/(9*(B20^3-B20)-3*B30))</f>
        <v>0.4943820224719101</v>
      </c>
      <c r="C31" s="13"/>
      <c r="D31" s="13"/>
      <c r="E31" s="13"/>
      <c r="F31" s="13"/>
      <c r="G31" s="4"/>
    </row>
    <row r="32" spans="1:7" x14ac:dyDescent="0.2">
      <c r="A32" s="13"/>
      <c r="B32" s="13"/>
      <c r="C32" s="13"/>
      <c r="D32" s="13"/>
      <c r="E32" s="13"/>
      <c r="F32" s="13"/>
      <c r="G32" s="4"/>
    </row>
    <row r="33" spans="1:7" x14ac:dyDescent="0.2">
      <c r="A33" s="13"/>
      <c r="B33" s="13"/>
      <c r="C33" s="13"/>
      <c r="D33" s="13"/>
      <c r="E33" s="13"/>
      <c r="F33" s="13"/>
      <c r="G33" s="4"/>
    </row>
    <row r="34" spans="1:7" ht="19" x14ac:dyDescent="0.25">
      <c r="A34" s="43" t="s">
        <v>288</v>
      </c>
      <c r="B34" s="44"/>
      <c r="C34" s="44"/>
      <c r="D34" s="44"/>
      <c r="E34" s="13"/>
      <c r="F34" s="13"/>
      <c r="G34" s="4"/>
    </row>
    <row r="35" spans="1:7" x14ac:dyDescent="0.2">
      <c r="A35" s="26" t="s">
        <v>286</v>
      </c>
      <c r="B35" s="26">
        <f>COUNTIFS(Podatki!$B$4:$B$75,"C",Podatki!$M$4:$M$75,1)</f>
        <v>36</v>
      </c>
      <c r="C35" s="13"/>
      <c r="D35" s="13"/>
      <c r="E35" s="13"/>
      <c r="F35" s="13"/>
      <c r="G35" s="4"/>
    </row>
    <row r="36" spans="1:7" x14ac:dyDescent="0.2">
      <c r="A36" s="26" t="s">
        <v>285</v>
      </c>
      <c r="B36" s="28">
        <f>3*(B35+1)/2</f>
        <v>55.5</v>
      </c>
      <c r="C36" s="13"/>
      <c r="D36" s="13"/>
      <c r="E36" s="13"/>
      <c r="F36" s="13"/>
      <c r="G36" s="4"/>
    </row>
    <row r="37" spans="1:7" x14ac:dyDescent="0.2">
      <c r="A37" s="26" t="s">
        <v>284</v>
      </c>
      <c r="B37" s="28">
        <f>SUMPRODUCT((Podatki!$B$4:$B$75="C")*(Podatki!$M$4:$M$75=1)*(Podatki!$Q$4:$Q$75-B36)^2)</f>
        <v>11228</v>
      </c>
      <c r="C37" s="13"/>
      <c r="D37" s="13"/>
      <c r="E37" s="13"/>
      <c r="F37" s="13"/>
      <c r="G37" s="4"/>
    </row>
    <row r="38" spans="1:7" x14ac:dyDescent="0.2">
      <c r="A38" s="27" t="s">
        <v>283</v>
      </c>
      <c r="B38" s="13"/>
      <c r="C38" s="13"/>
      <c r="D38" s="13"/>
      <c r="E38" s="13"/>
      <c r="F38" s="13"/>
      <c r="G38" s="4"/>
    </row>
    <row r="39" spans="1:7" ht="19" x14ac:dyDescent="0.25">
      <c r="A39" s="43" t="s">
        <v>282</v>
      </c>
      <c r="B39" s="45" t="s">
        <v>227</v>
      </c>
      <c r="C39" s="45" t="s">
        <v>226</v>
      </c>
      <c r="D39" s="45" t="s">
        <v>225</v>
      </c>
      <c r="E39" s="13"/>
      <c r="F39" s="13"/>
      <c r="G39" s="4"/>
    </row>
    <row r="40" spans="1:7" x14ac:dyDescent="0.2">
      <c r="A40" s="26">
        <v>0</v>
      </c>
      <c r="B40" s="26">
        <f>COUNTIFS(Podatki!$B$4:$B$75,"C",Podatki!$M$4:$M$75,1,Podatki!$I$4:$I$75,0)^3-COUNTIFS(Podatki!$B$4:$B$75,"C",Podatki!$M$4:$M$75,1,Podatki!$I$4:$I$75,0)</f>
        <v>0</v>
      </c>
      <c r="C40" s="26">
        <f>COUNTIFS(Podatki!$B$4:$B$75,"C",Podatki!$M$4:$M$75,1,Podatki!$J$4:$J$75,0)^3-COUNTIFS(Podatki!$B$4:$B$75,"C",Podatki!$M$4:$M$75,1,Podatki!$J$4:$J$75,0)</f>
        <v>0</v>
      </c>
      <c r="D40" s="26">
        <f>COUNTIFS(Podatki!$B$4:$B$75,"C",Podatki!$M$4:$M$75,1,Podatki!$K$4:$K$75,0)^3-COUNTIFS(Podatki!$B$4:$B$75,"C",Podatki!$M$4:$M$75,1,Podatki!$K$4:$K$75,0)</f>
        <v>0</v>
      </c>
      <c r="E40" s="13"/>
      <c r="F40" s="13"/>
      <c r="G40" s="4"/>
    </row>
    <row r="41" spans="1:7" x14ac:dyDescent="0.2">
      <c r="A41" s="26">
        <v>1</v>
      </c>
      <c r="B41" s="26">
        <f>COUNTIFS(Podatki!$B$4:$B$75,"C",Podatki!$M$4:$M$75,1,Podatki!$I$4:$I$75,1)^3-COUNTIFS(Podatki!$B$4:$B$75,"C",Podatki!$M$4:$M$75,1,Podatki!$I$4:$I$75,1)</f>
        <v>0</v>
      </c>
      <c r="C41" s="26">
        <f>COUNTIFS(Podatki!$B$4:$B$75,"C",Podatki!$M$4:$M$75,1,Podatki!$J$4:$J$75,1)^3-COUNTIFS(Podatki!$B$4:$B$75,"C",Podatki!$M$4:$M$75,1,Podatki!$J$4:$J$75,1)</f>
        <v>0</v>
      </c>
      <c r="D41" s="26">
        <f>COUNTIFS(Podatki!$B$4:$B$75,"C",Podatki!$M$4:$M$75,1,Podatki!$K$4:$K$75,1)^3-COUNTIFS(Podatki!$B$4:$B$75,"C",Podatki!$M$4:$M$75,1,Podatki!$K$4:$K$75,1)</f>
        <v>504</v>
      </c>
      <c r="E41" s="13"/>
      <c r="F41" s="13"/>
      <c r="G41" s="4"/>
    </row>
    <row r="42" spans="1:7" x14ac:dyDescent="0.2">
      <c r="A42" s="26">
        <v>2</v>
      </c>
      <c r="B42" s="26">
        <f>COUNTIFS(Podatki!$B$4:$B$75,"C",Podatki!$M$4:$M$75,1,Podatki!$I$4:$I$75,2)^3-COUNTIFS(Podatki!$B$4:$B$75,"C",Podatki!$M$4:$M$75,1,Podatki!$I$4:$I$75,2)</f>
        <v>6</v>
      </c>
      <c r="C42" s="26">
        <f>COUNTIFS(Podatki!$B$4:$B$75,"C",Podatki!$M$4:$M$75,1,Podatki!$J$4:$J$75,2)^3-COUNTIFS(Podatki!$B$4:$B$75,"C",Podatki!$M$4:$M$75,1,Podatki!$J$4:$J$75,2)</f>
        <v>24</v>
      </c>
      <c r="D42" s="26">
        <f>COUNTIFS(Podatki!$B$4:$B$75,"C",Podatki!$M$4:$M$75,1,Podatki!$K$4:$K$75,2)^3-COUNTIFS(Podatki!$B$4:$B$75,"C",Podatki!$M$4:$M$75,1,Podatki!$K$4:$K$75,2)</f>
        <v>210</v>
      </c>
      <c r="E42" s="13"/>
      <c r="F42" s="13"/>
      <c r="G42" s="4"/>
    </row>
    <row r="43" spans="1:7" x14ac:dyDescent="0.2">
      <c r="A43" s="26">
        <v>3</v>
      </c>
      <c r="B43" s="26">
        <f>COUNTIFS(Podatki!$B$4:$B$75,"C",Podatki!$M$4:$M$75,1,Podatki!$I$4:$I$75,3)^3-COUNTIFS(Podatki!$B$4:$B$75,"C",Podatki!$M$4:$M$75,1,Podatki!$I$4:$I$75,3)</f>
        <v>3360</v>
      </c>
      <c r="C43" s="26">
        <f>COUNTIFS(Podatki!$B$4:$B$75,"C",Podatki!$M$4:$M$75,1,Podatki!$J$4:$J$75,3)^3-COUNTIFS(Podatki!$B$4:$B$75,"C",Podatki!$M$4:$M$75,1,Podatki!$J$4:$J$75,3)</f>
        <v>5814</v>
      </c>
      <c r="D43" s="26">
        <f>COUNTIFS(Podatki!$B$4:$B$75,"C",Podatki!$M$4:$M$75,1,Podatki!$K$4:$K$75,3)^3-COUNTIFS(Podatki!$B$4:$B$75,"C",Podatki!$M$4:$M$75,1,Podatki!$K$4:$K$75,3)</f>
        <v>2184</v>
      </c>
      <c r="E43" s="13"/>
      <c r="F43" s="13"/>
      <c r="G43" s="4"/>
    </row>
    <row r="44" spans="1:7" x14ac:dyDescent="0.2">
      <c r="A44" s="26">
        <v>4</v>
      </c>
      <c r="B44" s="26">
        <f>COUNTIFS(Podatki!$B$4:$B$75,"C",Podatki!$M$4:$M$75,1,Podatki!$I$4:$I$75,4)^3-COUNTIFS(Podatki!$B$4:$B$75,"C",Podatki!$M$4:$M$75,1,Podatki!$I$4:$I$75,4)</f>
        <v>6840</v>
      </c>
      <c r="C44" s="26">
        <f>COUNTIFS(Podatki!$B$4:$B$75,"C",Podatki!$M$4:$M$75,1,Podatki!$J$4:$J$75,4)^3-COUNTIFS(Podatki!$B$4:$B$75,"C",Podatki!$M$4:$M$75,1,Podatki!$J$4:$J$75,4)</f>
        <v>3360</v>
      </c>
      <c r="D44" s="26">
        <f>COUNTIFS(Podatki!$B$4:$B$75,"C",Podatki!$M$4:$M$75,1,Podatki!$K$4:$K$75,4)^3-COUNTIFS(Podatki!$B$4:$B$75,"C",Podatki!$M$4:$M$75,1,Podatki!$K$4:$K$75,4)</f>
        <v>720</v>
      </c>
      <c r="E44" s="13"/>
      <c r="F44" s="13"/>
      <c r="G44" s="4"/>
    </row>
    <row r="45" spans="1:7" x14ac:dyDescent="0.2">
      <c r="A45" s="26" t="s">
        <v>281</v>
      </c>
      <c r="B45" s="26">
        <f>SUM(B40:D44)</f>
        <v>23022</v>
      </c>
      <c r="C45" s="13"/>
      <c r="D45" s="13"/>
      <c r="E45" s="13"/>
      <c r="F45" s="13"/>
      <c r="G45" s="4"/>
    </row>
    <row r="46" spans="1:7" x14ac:dyDescent="0.2">
      <c r="A46" s="14" t="s">
        <v>279</v>
      </c>
      <c r="B46" s="29">
        <f>IF(B35&lt;2,"",12*B37/(9*(B35^3-B35)-3*B45))</f>
        <v>0.38439548776939009</v>
      </c>
      <c r="C46" s="13"/>
      <c r="D46" s="13"/>
      <c r="E46" s="13"/>
      <c r="F46" s="13"/>
      <c r="G46" s="4"/>
    </row>
    <row r="47" spans="1:7" x14ac:dyDescent="0.2">
      <c r="A47" s="13"/>
      <c r="B47" s="13"/>
      <c r="C47" s="13"/>
      <c r="D47" s="13"/>
      <c r="E47" s="13"/>
      <c r="F47" s="13"/>
      <c r="G47" s="4"/>
    </row>
    <row r="48" spans="1:7" x14ac:dyDescent="0.2">
      <c r="A48" s="13"/>
      <c r="B48" s="13"/>
      <c r="C48" s="13"/>
      <c r="D48" s="13"/>
      <c r="E48" s="13"/>
      <c r="F48" s="13"/>
      <c r="G48" s="4"/>
    </row>
    <row r="49" spans="1:7" ht="19" x14ac:dyDescent="0.25">
      <c r="A49" s="43" t="s">
        <v>287</v>
      </c>
      <c r="B49" s="44"/>
      <c r="C49" s="44"/>
      <c r="D49" s="44"/>
      <c r="E49" s="13"/>
      <c r="F49" s="13"/>
      <c r="G49" s="4"/>
    </row>
    <row r="50" spans="1:7" x14ac:dyDescent="0.2">
      <c r="A50" s="26" t="s">
        <v>286</v>
      </c>
      <c r="B50" s="26">
        <f>COUNTIFS(Podatki!$B$4:$B$75,"D",Podatki!$M$4:$M$75,1)</f>
        <v>9</v>
      </c>
      <c r="C50" s="13"/>
      <c r="D50" s="13"/>
      <c r="E50" s="13"/>
      <c r="F50" s="13"/>
      <c r="G50" s="4"/>
    </row>
    <row r="51" spans="1:7" x14ac:dyDescent="0.2">
      <c r="A51" s="26" t="s">
        <v>285</v>
      </c>
      <c r="B51" s="28">
        <f>3*(B50+1)/2</f>
        <v>15</v>
      </c>
      <c r="C51" s="13"/>
      <c r="D51" s="13"/>
      <c r="E51" s="13"/>
      <c r="F51" s="13"/>
      <c r="G51" s="4"/>
    </row>
    <row r="52" spans="1:7" x14ac:dyDescent="0.2">
      <c r="A52" s="26" t="s">
        <v>284</v>
      </c>
      <c r="B52" s="28">
        <f>SUMPRODUCT((Podatki!$B$4:$B$75="D")*(Podatki!$M$4:$M$75=1)*(Podatki!$Q$4:$Q$75-B51)^2)</f>
        <v>292</v>
      </c>
      <c r="C52" s="13"/>
      <c r="D52" s="13"/>
      <c r="E52" s="13"/>
      <c r="F52" s="13"/>
      <c r="G52" s="4"/>
    </row>
    <row r="53" spans="1:7" x14ac:dyDescent="0.2">
      <c r="A53" s="27" t="s">
        <v>283</v>
      </c>
      <c r="B53" s="13"/>
      <c r="C53" s="13"/>
      <c r="D53" s="13"/>
      <c r="E53" s="13"/>
      <c r="F53" s="13"/>
      <c r="G53" s="4"/>
    </row>
    <row r="54" spans="1:7" ht="19" x14ac:dyDescent="0.25">
      <c r="A54" s="43" t="s">
        <v>282</v>
      </c>
      <c r="B54" s="45" t="s">
        <v>227</v>
      </c>
      <c r="C54" s="45" t="s">
        <v>226</v>
      </c>
      <c r="D54" s="45" t="s">
        <v>225</v>
      </c>
      <c r="E54" s="13"/>
      <c r="F54" s="13"/>
      <c r="G54" s="4"/>
    </row>
    <row r="55" spans="1:7" x14ac:dyDescent="0.2">
      <c r="A55" s="26">
        <v>0</v>
      </c>
      <c r="B55" s="26">
        <f>COUNTIFS(Podatki!$B$4:$B$75,"D",Podatki!$M$4:$M$75,1,Podatki!$I$4:$I$75,0)^3-COUNTIFS(Podatki!$B$4:$B$75,"D",Podatki!$M$4:$M$75,1,Podatki!$I$4:$I$75,0)</f>
        <v>0</v>
      </c>
      <c r="C55" s="26">
        <f>COUNTIFS(Podatki!$B$4:$B$75,"D",Podatki!$M$4:$M$75,1,Podatki!$J$4:$J$75,0)^3-COUNTIFS(Podatki!$B$4:$B$75,"D",Podatki!$M$4:$M$75,1,Podatki!$J$4:$J$75,0)</f>
        <v>0</v>
      </c>
      <c r="D55" s="26">
        <f>COUNTIFS(Podatki!$B$4:$B$75,"D",Podatki!$M$4:$M$75,1,Podatki!$K$4:$K$75,0)^3-COUNTIFS(Podatki!$B$4:$B$75,"D",Podatki!$M$4:$M$75,1,Podatki!$K$4:$K$75,0)</f>
        <v>0</v>
      </c>
      <c r="E55" s="13"/>
      <c r="F55" s="13"/>
      <c r="G55" s="4"/>
    </row>
    <row r="56" spans="1:7" x14ac:dyDescent="0.2">
      <c r="A56" s="26">
        <v>1</v>
      </c>
      <c r="B56" s="26">
        <f>COUNTIFS(Podatki!$B$4:$B$75,"D",Podatki!$M$4:$M$75,1,Podatki!$I$4:$I$75,1)^3-COUNTIFS(Podatki!$B$4:$B$75,"D",Podatki!$M$4:$M$75,1,Podatki!$I$4:$I$75,1)</f>
        <v>0</v>
      </c>
      <c r="C56" s="26">
        <f>COUNTIFS(Podatki!$B$4:$B$75,"D",Podatki!$M$4:$M$75,1,Podatki!$J$4:$J$75,1)^3-COUNTIFS(Podatki!$B$4:$B$75,"D",Podatki!$M$4:$M$75,1,Podatki!$J$4:$J$75,1)</f>
        <v>0</v>
      </c>
      <c r="D56" s="26">
        <f>COUNTIFS(Podatki!$B$4:$B$75,"D",Podatki!$M$4:$M$75,1,Podatki!$K$4:$K$75,1)^3-COUNTIFS(Podatki!$B$4:$B$75,"D",Podatki!$M$4:$M$75,1,Podatki!$K$4:$K$75,1)</f>
        <v>6</v>
      </c>
      <c r="E56" s="13"/>
      <c r="F56" s="13"/>
      <c r="G56" s="4"/>
    </row>
    <row r="57" spans="1:7" x14ac:dyDescent="0.2">
      <c r="A57" s="26">
        <v>2</v>
      </c>
      <c r="B57" s="26">
        <f>COUNTIFS(Podatki!$B$4:$B$75,"D",Podatki!$M$4:$M$75,1,Podatki!$I$4:$I$75,2)^3-COUNTIFS(Podatki!$B$4:$B$75,"D",Podatki!$M$4:$M$75,1,Podatki!$I$4:$I$75,2)</f>
        <v>0</v>
      </c>
      <c r="C57" s="26">
        <f>COUNTIFS(Podatki!$B$4:$B$75,"D",Podatki!$M$4:$M$75,1,Podatki!$J$4:$J$75,2)^3-COUNTIFS(Podatki!$B$4:$B$75,"D",Podatki!$M$4:$M$75,1,Podatki!$J$4:$J$75,2)</f>
        <v>60</v>
      </c>
      <c r="D57" s="26">
        <f>COUNTIFS(Podatki!$B$4:$B$75,"D",Podatki!$M$4:$M$75,1,Podatki!$K$4:$K$75,2)^3-COUNTIFS(Podatki!$B$4:$B$75,"D",Podatki!$M$4:$M$75,1,Podatki!$K$4:$K$75,2)</f>
        <v>0</v>
      </c>
      <c r="E57" s="13"/>
      <c r="F57" s="13"/>
      <c r="G57" s="4"/>
    </row>
    <row r="58" spans="1:7" x14ac:dyDescent="0.2">
      <c r="A58" s="26">
        <v>3</v>
      </c>
      <c r="B58" s="26">
        <f>COUNTIFS(Podatki!$B$4:$B$75,"D",Podatki!$M$4:$M$75,1,Podatki!$I$4:$I$75,3)^3-COUNTIFS(Podatki!$B$4:$B$75,"D",Podatki!$M$4:$M$75,1,Podatki!$I$4:$I$75,3)</f>
        <v>120</v>
      </c>
      <c r="C58" s="26">
        <f>COUNTIFS(Podatki!$B$4:$B$75,"D",Podatki!$M$4:$M$75,1,Podatki!$J$4:$J$75,3)^3-COUNTIFS(Podatki!$B$4:$B$75,"D",Podatki!$M$4:$M$75,1,Podatki!$J$4:$J$75,3)</f>
        <v>0</v>
      </c>
      <c r="D58" s="26">
        <f>COUNTIFS(Podatki!$B$4:$B$75,"D",Podatki!$M$4:$M$75,1,Podatki!$K$4:$K$75,3)^3-COUNTIFS(Podatki!$B$4:$B$75,"D",Podatki!$M$4:$M$75,1,Podatki!$K$4:$K$75,3)</f>
        <v>24</v>
      </c>
      <c r="E58" s="13"/>
      <c r="F58" s="13"/>
      <c r="G58" s="4"/>
    </row>
    <row r="59" spans="1:7" x14ac:dyDescent="0.2">
      <c r="A59" s="26">
        <v>4</v>
      </c>
      <c r="B59" s="26">
        <f>COUNTIFS(Podatki!$B$4:$B$75,"D",Podatki!$M$4:$M$75,1,Podatki!$I$4:$I$75,4)^3-COUNTIFS(Podatki!$B$4:$B$75,"D",Podatki!$M$4:$M$75,1,Podatki!$I$4:$I$75,4)</f>
        <v>60</v>
      </c>
      <c r="C59" s="26">
        <f>COUNTIFS(Podatki!$B$4:$B$75,"D",Podatki!$M$4:$M$75,1,Podatki!$J$4:$J$75,4)^3-COUNTIFS(Podatki!$B$4:$B$75,"D",Podatki!$M$4:$M$75,1,Podatki!$J$4:$J$75,4)</f>
        <v>60</v>
      </c>
      <c r="D59" s="26">
        <f>COUNTIFS(Podatki!$B$4:$B$75,"D",Podatki!$M$4:$M$75,1,Podatki!$K$4:$K$75,4)^3-COUNTIFS(Podatki!$B$4:$B$75,"D",Podatki!$M$4:$M$75,1,Podatki!$K$4:$K$75,4)</f>
        <v>24</v>
      </c>
      <c r="E59" s="13"/>
      <c r="F59" s="13"/>
      <c r="G59" s="4"/>
    </row>
    <row r="60" spans="1:7" x14ac:dyDescent="0.2">
      <c r="A60" s="26" t="s">
        <v>281</v>
      </c>
      <c r="B60" s="26">
        <f>SUM(B55:D59)</f>
        <v>354</v>
      </c>
      <c r="C60" s="13"/>
      <c r="D60" s="13"/>
      <c r="E60" s="13"/>
      <c r="F60" s="13"/>
      <c r="G60" s="4"/>
    </row>
    <row r="61" spans="1:7" x14ac:dyDescent="0.2">
      <c r="A61" s="14" t="s">
        <v>279</v>
      </c>
      <c r="B61" s="29">
        <f>IF(B50&lt;2,"",12*B52/(9*(B50^3-B50)-3*B60))</f>
        <v>0.64673311184939097</v>
      </c>
      <c r="C61" s="13"/>
      <c r="D61" s="13"/>
      <c r="E61" s="13"/>
      <c r="F61" s="13"/>
      <c r="G61" s="4"/>
    </row>
    <row r="62" spans="1:7" x14ac:dyDescent="0.2">
      <c r="A62" s="13"/>
      <c r="B62" s="13"/>
      <c r="C62" s="13"/>
      <c r="D62" s="13"/>
      <c r="E62" s="13"/>
      <c r="F62" s="13"/>
      <c r="G62" s="4"/>
    </row>
    <row r="63" spans="1:7" x14ac:dyDescent="0.2">
      <c r="A63" s="13"/>
      <c r="B63" s="13"/>
      <c r="C63" s="13"/>
      <c r="D63" s="13"/>
      <c r="E63" s="13"/>
      <c r="F63" s="13"/>
      <c r="G63" s="4"/>
    </row>
    <row r="64" spans="1:7" ht="19" x14ac:dyDescent="0.25">
      <c r="A64" s="43" t="s">
        <v>280</v>
      </c>
      <c r="B64" s="44"/>
      <c r="C64" s="44"/>
      <c r="D64" s="44"/>
      <c r="E64" s="44"/>
      <c r="F64" s="13"/>
      <c r="G64" s="4"/>
    </row>
    <row r="65" spans="1:7" x14ac:dyDescent="0.2">
      <c r="A65" s="21" t="s">
        <v>234</v>
      </c>
      <c r="B65" s="21" t="s">
        <v>246</v>
      </c>
      <c r="C65" s="21" t="s">
        <v>245</v>
      </c>
      <c r="D65" s="21" t="s">
        <v>244</v>
      </c>
      <c r="E65" s="21" t="s">
        <v>243</v>
      </c>
      <c r="F65" s="13"/>
      <c r="G65" s="4"/>
    </row>
    <row r="66" spans="1:7" x14ac:dyDescent="0.2">
      <c r="A66" s="21" t="s">
        <v>279</v>
      </c>
      <c r="B66" s="30">
        <f>B16</f>
        <v>0.49996040231250494</v>
      </c>
      <c r="C66" s="30">
        <f>B31</f>
        <v>0.4943820224719101</v>
      </c>
      <c r="D66" s="30">
        <f>B46</f>
        <v>0.38439548776939009</v>
      </c>
      <c r="E66" s="30">
        <f>B61</f>
        <v>0.64673311184939097</v>
      </c>
      <c r="F66" s="13"/>
      <c r="G66" s="4"/>
    </row>
    <row r="67" spans="1:7" x14ac:dyDescent="0.2">
      <c r="A67" s="21" t="s">
        <v>278</v>
      </c>
      <c r="B67" s="17">
        <f>B5</f>
        <v>21</v>
      </c>
      <c r="C67" s="17">
        <f>B20</f>
        <v>6</v>
      </c>
      <c r="D67" s="17">
        <f>B35</f>
        <v>36</v>
      </c>
      <c r="E67" s="17">
        <f>B50</f>
        <v>9</v>
      </c>
      <c r="F67" s="13"/>
      <c r="G67" s="4"/>
    </row>
    <row r="68" spans="1:7" x14ac:dyDescent="0.2">
      <c r="A68" s="13"/>
      <c r="B68" s="13"/>
      <c r="C68" s="13"/>
      <c r="D68" s="13"/>
      <c r="E68" s="13"/>
      <c r="F68" s="13"/>
      <c r="G68" s="4"/>
    </row>
    <row r="69" spans="1:7" x14ac:dyDescent="0.2">
      <c r="A69" s="4"/>
      <c r="B69" s="4"/>
      <c r="C69" s="4"/>
      <c r="D69" s="4"/>
      <c r="E69" s="4"/>
      <c r="F69" s="4"/>
      <c r="G69" s="4"/>
    </row>
    <row r="70" spans="1:7" x14ac:dyDescent="0.2">
      <c r="A70" s="4"/>
      <c r="B70" s="4"/>
      <c r="C70" s="4"/>
      <c r="D70" s="4"/>
      <c r="E70" s="4"/>
      <c r="F70" s="4"/>
      <c r="G70" s="4"/>
    </row>
    <row r="71" spans="1:7" x14ac:dyDescent="0.2">
      <c r="A71" s="4"/>
      <c r="B71" s="4"/>
      <c r="C71" s="4"/>
      <c r="D71" s="4"/>
      <c r="E71" s="4"/>
      <c r="F71" s="4"/>
      <c r="G71" s="4"/>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F4C25-44E4-EF48-B82D-076C9C3DBF04}">
  <dimension ref="A1:E10"/>
  <sheetViews>
    <sheetView tabSelected="1" zoomScaleNormal="100" workbookViewId="0">
      <selection activeCell="D15" sqref="D15"/>
    </sheetView>
  </sheetViews>
  <sheetFormatPr baseColWidth="10" defaultColWidth="8.6640625" defaultRowHeight="15" x14ac:dyDescent="0.2"/>
  <cols>
    <col min="1" max="1" width="16" style="1" customWidth="1"/>
    <col min="2" max="3" width="12" style="1" customWidth="1"/>
    <col min="4" max="4" width="86" style="1" customWidth="1"/>
    <col min="5" max="16384" width="8.6640625" style="1"/>
  </cols>
  <sheetData>
    <row r="1" spans="1:5" ht="19" x14ac:dyDescent="0.25">
      <c r="A1" s="6" t="s">
        <v>301</v>
      </c>
      <c r="B1" s="13"/>
      <c r="C1" s="13"/>
      <c r="D1" s="13"/>
      <c r="E1" s="13"/>
    </row>
    <row r="2" spans="1:5" x14ac:dyDescent="0.2">
      <c r="A2" s="13"/>
      <c r="B2" s="13"/>
      <c r="C2" s="13"/>
      <c r="D2" s="13"/>
      <c r="E2" s="13"/>
    </row>
    <row r="3" spans="1:5" ht="19" x14ac:dyDescent="0.25">
      <c r="A3" s="31" t="s">
        <v>300</v>
      </c>
      <c r="B3" s="31" t="s">
        <v>299</v>
      </c>
      <c r="C3" s="31" t="s">
        <v>298</v>
      </c>
      <c r="D3" s="31" t="s">
        <v>297</v>
      </c>
      <c r="E3" s="13"/>
    </row>
    <row r="4" spans="1:5" x14ac:dyDescent="0.2">
      <c r="A4" s="17">
        <v>1</v>
      </c>
      <c r="B4" s="16" t="s">
        <v>143</v>
      </c>
      <c r="C4" s="16" t="str">
        <f>IF(B4="B","da","ne")</f>
        <v>da</v>
      </c>
      <c r="D4" s="32" t="s">
        <v>296</v>
      </c>
      <c r="E4" s="13"/>
    </row>
    <row r="5" spans="1:5" ht="45" x14ac:dyDescent="0.2">
      <c r="A5" s="17">
        <v>2</v>
      </c>
      <c r="B5" s="16" t="s">
        <v>143</v>
      </c>
      <c r="C5" s="16" t="str">
        <f>IF(B5="B","da","ne")</f>
        <v>da</v>
      </c>
      <c r="D5" s="32" t="s">
        <v>295</v>
      </c>
      <c r="E5" s="13"/>
    </row>
    <row r="6" spans="1:5" x14ac:dyDescent="0.2">
      <c r="A6" s="17">
        <v>3</v>
      </c>
      <c r="B6" s="16" t="s">
        <v>38</v>
      </c>
      <c r="C6" s="16" t="str">
        <f>IF(B6="B","da","ne")</f>
        <v>ne</v>
      </c>
      <c r="D6" s="32" t="s">
        <v>294</v>
      </c>
      <c r="E6" s="13"/>
    </row>
    <row r="7" spans="1:5" x14ac:dyDescent="0.2">
      <c r="A7" s="13"/>
      <c r="B7" s="13"/>
      <c r="C7" s="13"/>
      <c r="D7" s="13"/>
      <c r="E7" s="13"/>
    </row>
    <row r="8" spans="1:5" ht="19" x14ac:dyDescent="0.25">
      <c r="A8" s="23" t="s">
        <v>293</v>
      </c>
      <c r="B8" s="13"/>
      <c r="C8" s="33"/>
      <c r="D8" s="13"/>
      <c r="E8" s="13"/>
    </row>
    <row r="9" spans="1:5" x14ac:dyDescent="0.2">
      <c r="A9" s="13"/>
      <c r="B9" s="13"/>
      <c r="C9" s="13"/>
      <c r="D9" s="13"/>
      <c r="E9" s="13"/>
    </row>
    <row r="10" spans="1:5" x14ac:dyDescent="0.2">
      <c r="A10" s="13"/>
      <c r="B10" s="13"/>
      <c r="C10" s="13"/>
      <c r="D10" s="13"/>
      <c r="E10" s="13"/>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21D4F-EC0F-7640-815B-64D22BC4A5E1}">
  <dimension ref="A1:B28"/>
  <sheetViews>
    <sheetView topLeftCell="A24" zoomScaleNormal="100" workbookViewId="0">
      <selection activeCell="A18" sqref="A18"/>
    </sheetView>
  </sheetViews>
  <sheetFormatPr baseColWidth="10" defaultColWidth="8.6640625" defaultRowHeight="15" x14ac:dyDescent="0.2"/>
  <cols>
    <col min="1" max="1" width="46" style="1" customWidth="1"/>
    <col min="2" max="2" width="12" style="1" customWidth="1"/>
    <col min="3" max="16384" width="8.6640625" style="1"/>
  </cols>
  <sheetData>
    <row r="1" spans="1:2" x14ac:dyDescent="0.2">
      <c r="A1" s="5"/>
    </row>
    <row r="3" spans="1:2" x14ac:dyDescent="0.2">
      <c r="A3" s="14" t="s">
        <v>315</v>
      </c>
      <c r="B3" s="13"/>
    </row>
    <row r="4" spans="1:2" x14ac:dyDescent="0.2">
      <c r="A4" s="34" t="s">
        <v>313</v>
      </c>
      <c r="B4" s="34" t="s">
        <v>312</v>
      </c>
    </row>
    <row r="5" spans="1:2" x14ac:dyDescent="0.2">
      <c r="A5" s="17" t="s">
        <v>246</v>
      </c>
      <c r="B5" s="35">
        <f>Analiza!C30</f>
        <v>21</v>
      </c>
    </row>
    <row r="6" spans="1:2" x14ac:dyDescent="0.2">
      <c r="A6" s="17" t="s">
        <v>245</v>
      </c>
      <c r="B6" s="35">
        <f>Analiza!D30</f>
        <v>6</v>
      </c>
    </row>
    <row r="7" spans="1:2" x14ac:dyDescent="0.2">
      <c r="A7" s="17" t="s">
        <v>244</v>
      </c>
      <c r="B7" s="35">
        <f>Analiza!E30</f>
        <v>36</v>
      </c>
    </row>
    <row r="8" spans="1:2" x14ac:dyDescent="0.2">
      <c r="A8" s="17" t="s">
        <v>243</v>
      </c>
      <c r="B8" s="35">
        <f>Analiza!F30</f>
        <v>9</v>
      </c>
    </row>
    <row r="9" spans="1:2" x14ac:dyDescent="0.2">
      <c r="A9" s="13"/>
      <c r="B9" s="13"/>
    </row>
    <row r="10" spans="1:2" x14ac:dyDescent="0.2">
      <c r="A10" s="14" t="s">
        <v>275</v>
      </c>
      <c r="B10" s="13"/>
    </row>
    <row r="11" spans="1:2" x14ac:dyDescent="0.2">
      <c r="A11" s="34" t="s">
        <v>313</v>
      </c>
      <c r="B11" s="34" t="s">
        <v>312</v>
      </c>
    </row>
    <row r="12" spans="1:2" x14ac:dyDescent="0.2">
      <c r="A12" s="17" t="s">
        <v>246</v>
      </c>
      <c r="B12" s="36">
        <f>Analiza!C15</f>
        <v>18.333333333333336</v>
      </c>
    </row>
    <row r="13" spans="1:2" x14ac:dyDescent="0.2">
      <c r="A13" s="17" t="s">
        <v>245</v>
      </c>
      <c r="B13" s="36">
        <f>Analiza!D15</f>
        <v>13.666666666666668</v>
      </c>
    </row>
    <row r="14" spans="1:2" x14ac:dyDescent="0.2">
      <c r="A14" s="17" t="s">
        <v>244</v>
      </c>
      <c r="B14" s="36">
        <f>Analiza!E15</f>
        <v>21.333333333333332</v>
      </c>
    </row>
    <row r="15" spans="1:2" x14ac:dyDescent="0.2">
      <c r="A15" s="17" t="s">
        <v>243</v>
      </c>
      <c r="B15" s="36">
        <f>Analiza!F15</f>
        <v>13</v>
      </c>
    </row>
    <row r="16" spans="1:2" x14ac:dyDescent="0.2">
      <c r="A16" s="13"/>
      <c r="B16" s="13"/>
    </row>
    <row r="17" spans="1:2" x14ac:dyDescent="0.2">
      <c r="A17" s="14" t="s">
        <v>314</v>
      </c>
      <c r="B17" s="13"/>
    </row>
    <row r="18" spans="1:2" x14ac:dyDescent="0.2">
      <c r="A18" s="34" t="s">
        <v>313</v>
      </c>
      <c r="B18" s="34" t="s">
        <v>312</v>
      </c>
    </row>
    <row r="19" spans="1:2" x14ac:dyDescent="0.2">
      <c r="A19" s="17" t="s">
        <v>311</v>
      </c>
      <c r="B19" s="35">
        <f>Analiza!G20</f>
        <v>16</v>
      </c>
    </row>
    <row r="20" spans="1:2" x14ac:dyDescent="0.2">
      <c r="A20" s="17" t="s">
        <v>310</v>
      </c>
      <c r="B20" s="35">
        <f>Analiza!G21</f>
        <v>13</v>
      </c>
    </row>
    <row r="21" spans="1:2" x14ac:dyDescent="0.2">
      <c r="A21" s="17" t="s">
        <v>309</v>
      </c>
      <c r="B21" s="35">
        <f>Analiza!G22</f>
        <v>4</v>
      </c>
    </row>
    <row r="22" spans="1:2" x14ac:dyDescent="0.2">
      <c r="A22" s="17" t="s">
        <v>308</v>
      </c>
      <c r="B22" s="35">
        <f>Analiza!G23</f>
        <v>21</v>
      </c>
    </row>
    <row r="23" spans="1:2" x14ac:dyDescent="0.2">
      <c r="A23" s="17" t="s">
        <v>307</v>
      </c>
      <c r="B23" s="35">
        <f>Analiza!G24</f>
        <v>1</v>
      </c>
    </row>
    <row r="24" spans="1:2" x14ac:dyDescent="0.2">
      <c r="A24" s="17" t="s">
        <v>306</v>
      </c>
      <c r="B24" s="35">
        <f>Analiza!G25</f>
        <v>3</v>
      </c>
    </row>
    <row r="25" spans="1:2" x14ac:dyDescent="0.2">
      <c r="A25" s="17" t="s">
        <v>305</v>
      </c>
      <c r="B25" s="35">
        <f>Analiza!G26</f>
        <v>0</v>
      </c>
    </row>
    <row r="26" spans="1:2" x14ac:dyDescent="0.2">
      <c r="A26" s="17" t="s">
        <v>304</v>
      </c>
      <c r="B26" s="35">
        <f>Analiza!G27</f>
        <v>11</v>
      </c>
    </row>
    <row r="27" spans="1:2" x14ac:dyDescent="0.2">
      <c r="A27" s="17" t="s">
        <v>303</v>
      </c>
      <c r="B27" s="35">
        <f>Analiza!G28</f>
        <v>0</v>
      </c>
    </row>
    <row r="28" spans="1:2" x14ac:dyDescent="0.2">
      <c r="A28" s="17" t="s">
        <v>302</v>
      </c>
      <c r="B28" s="35">
        <f>Analiza!G29</f>
        <v>3</v>
      </c>
    </row>
  </sheetData>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Podatki</vt:lpstr>
      <vt:lpstr>Analiza</vt:lpstr>
      <vt:lpstr>Kendall</vt:lpstr>
      <vt:lpstr>Kontrolno vprašanje</vt:lpstr>
      <vt:lpstr>Grafi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Simon Slemenšek</dc:creator>
  <cp:keywords/>
  <dc:description/>
  <cp:lastModifiedBy>Simon Slemenšek</cp:lastModifiedBy>
  <dcterms:created xsi:type="dcterms:W3CDTF">2026-09-12T10:53:50Z</dcterms:created>
  <dcterms:modified xsi:type="dcterms:W3CDTF">2026-09-29T17:24:28Z</dcterms:modified>
  <cp:category/>
</cp:coreProperties>
</file>